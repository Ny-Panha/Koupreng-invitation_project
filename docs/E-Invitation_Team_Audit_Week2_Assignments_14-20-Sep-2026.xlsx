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354e9ddc4d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សង្ខេប" sheetId="1" r:id="R574e5f401a63443a"/>
    <x:sheet xmlns:r="http://schemas.openxmlformats.org/officeDocument/2006/relationships" name="វាយតម្លៃក្រុម" sheetId="2" r:id="R9230f42031224b84"/>
    <x:sheet xmlns:r="http://schemas.openxmlformats.org/officeDocument/2006/relationships" name="តាមដានការងារ" sheetId="3" r:id="R0a202888dbe14bc7"/>
    <x:sheet xmlns:r="http://schemas.openxmlformats.org/officeDocument/2006/relationships" name="កំណត់ប្រជុំ" sheetId="4" r:id="Rbcfdf5fa5ac34fd3"/>
    <x:sheet xmlns:r="http://schemas.openxmlformats.org/officeDocument/2006/relationships" name="ប្រវត្តិគម្រោង" sheetId="5" r:id="R8a83228db3af48ab"/>
    <x:sheet xmlns:r="http://schemas.openxmlformats.org/officeDocument/2006/relationships" name="ភស្តុតាង GitHub" sheetId="6" r:id="R8d89d50769aa453f"/>
    <x:sheet xmlns:r="http://schemas.openxmlformats.org/officeDocument/2006/relationships" name="QA-QC និងបញ្ហា" sheetId="7" r:id="R2e585cdbc72c4eaf"/>
    <x:sheet xmlns:r="http://schemas.openxmlformats.org/officeDocument/2006/relationships" name="ការងារសប្ដាហ៍នេះ" sheetId="8" r:id="R75540e9d3d4f49cd"/>
    <x:sheet xmlns:r="http://schemas.openxmlformats.org/officeDocument/2006/relationships" name="ការងារសប្ដាហ៍ទី២" sheetId="9" r:id="R9ed02057dde64bca"/>
  </x:sheets>
</x:workbook>
</file>

<file path=xl/sharedStrings.xml><?xml version="1.0" encoding="utf-8"?>
<x:sst xmlns:x="http://schemas.openxmlformats.org/spreadsheetml/2006/main">
  <x:si>
    <x:t xml:space="preserve">បែបបទត្រួតពិនិត្យ និងវាយតម្លៃការចូលរួមរបស់សមាជិកក្រុម</x:t>
  </x:si>
  <x:si>
    <x:t xml:space="preserve">ប្រព័ន្ធគ្រប់គ្រងលិខិតអញ្ចើញឌីជីថល (E-Invitation) — បែបបទសវនកម្មការចូលរួម ការបំពេញភារកិច្ច និងការវាយតម្លៃសមិទ្ធផលក្រុម</x:t>
  </x:si>
  <x:si>
    <x:t xml:space="preserve">គ្រប់ដំណើរការ ការងារ ការត្រួតពិនិត្យ QA/QC និងឯកសារ ត្រូវបញ្ចប់មិនលើសពីថ្ងៃទី ០១ ខែធ្នូ ឆ្នាំ ២០២៦</x:t>
  </x:si>
  <x:si>
    <x:t xml:space="preserve">ព័ត៌មានគម្រោង</x:t>
  </x:si>
  <x:si>
    <x:t xml:space="preserve">ចំនួនសមាជិក</x:t>
  </x:si>
  <x:si>
    <x:t xml:space="preserve">ពិន្ទុមធ្យមក្រុម</x:t>
  </x:si>
  <x:si>
    <x:t xml:space="preserve">ការងារសរុប</x:t>
  </x:si>
  <x:si>
    <x:t xml:space="preserve">អត្រាបញ្ចប់</x:t>
  </x:si>
  <x:si>
    <x:t xml:space="preserve">ថ្ងៃចាប់ផ្តើមត្រួតពិនិត្យ</x:t>
  </x:si>
  <x:si>
    <x:t xml:space="preserve">ថ្ងៃបញ្ចប់ចុងក្រោយ</x:t>
  </x:si>
  <x:si>
    <x:t xml:space="preserve">រយៈពេលតាមដាន</x:t>
  </x:si>
  <x:si>
    <x:t xml:space="preserve">១២ សប្ដាហ៍</x:t>
  </x:si>
  <x:si>
    <x:t xml:space="preserve">វដ្តត្រួតពិនិត្យ</x:t>
  </x:si>
  <x:si>
    <x:t xml:space="preserve">ប្រចាំសប្ដាហ៍</x:t>
  </x:si>
  <x:si>
    <x:t xml:space="preserve">សមាសធាតុវាយតម្លៃ និងទម្ងន់ពិន្ទុ</x:t>
  </x:si>
  <x:si>
    <x:t xml:space="preserve">ផែនការតាមដានរហូតដល់ថ្ងៃទី ០១ ធ្នូ ២០២៦</x:t>
  </x:si>
  <x:si>
    <x:t xml:space="preserve">ល.រ</x:t>
  </x:si>
  <x:si>
    <x:t xml:space="preserve">សមាសធាតុវាយតម្លៃ</x:t>
  </x:si>
  <x:si>
    <x:t xml:space="preserve">ទម្ងន់</x:t>
  </x:si>
  <x:si>
    <x:t xml:space="preserve">ប្រភពភស្តុតាង</x:t>
  </x:si>
  <x:si>
    <x:t xml:space="preserve">កំណត់សម្គាល់</x:t>
  </x:si>
  <x:si>
    <x:t xml:space="preserve">វគ្គ</x:t>
  </x:si>
  <x:si>
    <x:t xml:space="preserve">រយៈពេល</x:t>
  </x:si>
  <x:si>
    <x:t xml:space="preserve">គោលដៅ</x:t>
  </x:si>
  <x:si>
    <x:t xml:space="preserve">Output / Evidence</x:t>
  </x:si>
  <x:si>
    <x:t xml:space="preserve">វត្តមាន</x:t>
  </x:si>
  <x:si>
    <x:t xml:space="preserve">Weekly Audit</x:t>
  </x:si>
  <x:si>
    <x:t xml:space="preserve">គណនាស្វ័យប្រវត្តិ</x:t>
  </x:si>
  <x:si>
    <x:t xml:space="preserve">១</x:t>
  </x:si>
  <x:si>
    <x:t xml:space="preserve">09–15 Sep</x:t>
  </x:si>
  <x:si>
    <x:t xml:space="preserve">ផ្ទៀងផ្ទាត់ Team Owner / GitHub / Evidence</x:t>
  </x:si>
  <x:si>
    <x:t xml:space="preserve">Owner mapping + Audit baseline</x:t>
  </x:si>
  <x:si>
    <x:t xml:space="preserve">ការចូលរួម និងទំនាក់ទំនង</x:t>
  </x:si>
  <x:si>
    <x:t xml:space="preserve">Meeting / Team</x:t>
  </x:si>
  <x:si>
    <x:t xml:space="preserve">0–100</x:t>
  </x:si>
  <x:si>
    <x:t xml:space="preserve">២</x:t>
  </x:si>
  <x:si>
    <x:t xml:space="preserve">16–30 Sep</x:t>
  </x:si>
  <x:si>
    <x:t xml:space="preserve">Security remediation: credential + Git history</x:t>
  </x:si>
  <x:si>
    <x:t xml:space="preserve">Incident closure evidence</x:t>
  </x:si>
  <x:si>
    <x:t xml:space="preserve">ការបំពេញការងារដែលបានចាត់តាំង</x:t>
  </x:si>
  <x:si>
    <x:t xml:space="preserve">Task Tracker</x:t>
  </x:si>
  <x:si>
    <x:t xml:space="preserve">៣</x:t>
  </x:si>
  <x:si>
    <x:t xml:space="preserve">01–27 Oct</x:t>
  </x:si>
  <x:si>
    <x:t xml:space="preserve">Live integrations: Auth / ABA / Telegram / Email / Storage</x:t>
  </x:si>
  <x:si>
    <x:t xml:space="preserve">Integration test evidence</x:t>
  </x:si>
  <x:si>
    <x:t xml:space="preserve">ការគោរព Deadline</x:t>
  </x:si>
  <x:si>
    <x:t xml:space="preserve">៤</x:t>
  </x:si>
  <x:si>
    <x:t xml:space="preserve">28 Oct–10 Nov</x:t>
  </x:si>
  <x:si>
    <x:t xml:space="preserve">Deployment + Staging E2E / QA/QC</x:t>
  </x:si>
  <x:si>
    <x:t xml:space="preserve">Deployment logs + E2E report</x:t>
  </x:si>
  <x:si>
    <x:t xml:space="preserve">គុណភាពការងារ</x:t>
  </x:si>
  <x:si>
    <x:t xml:space="preserve">QA / Review</x:t>
  </x:si>
  <x:si>
    <x:t xml:space="preserve">៥</x:t>
  </x:si>
  <x:si>
    <x:t xml:space="preserve">11–24 Nov</x:t>
  </x:si>
  <x:si>
    <x:t xml:space="preserve">Documentation + A11y + Performance + Final Fix</x:t>
  </x:si>
  <x:si>
    <x:t xml:space="preserve">Final report + optimization evidence</x:t>
  </x:si>
  <x:si>
    <x:t xml:space="preserve">Git / GitHub Contribution</x:t>
  </x:si>
  <x:si>
    <x:t xml:space="preserve">PR / Commit / Issue</x:t>
  </x:si>
  <x:si>
    <x:t xml:space="preserve">៦</x:t>
  </x:si>
  <x:si>
    <x:t xml:space="preserve">25 Nov–01 Dec</x:t>
  </x:si>
  <x:si>
    <x:t xml:space="preserve">Final Regression / Code Freeze / Demo / Submission</x:t>
  </x:si>
  <x:si>
    <x:t xml:space="preserve">Final build + archive + submission</x:t>
  </x:si>
  <x:si>
    <x:t xml:space="preserve">Testing / QA / Bug Fix</x:t>
  </x:si>
  <x:si>
    <x:t xml:space="preserve">Test Evidence</x:t>
  </x:si>
  <x:si>
    <x:t xml:space="preserve">Documentation / Report</x:t>
  </x:si>
  <x:si>
    <x:t xml:space="preserve">Report / Document</x:t>
  </x:si>
  <x:si>
    <x:t xml:space="preserve">កម្រិតវាយតម្លៃ</x:t>
  </x:si>
  <x:si>
    <x:t xml:space="preserve">Initiative &amp; Problem Solving</x:t>
  </x:si>
  <x:si>
    <x:t xml:space="preserve">Team Review</x:t>
  </x:si>
  <x:si>
    <x:t xml:space="preserve">90–100</x:t>
  </x:si>
  <x:si>
    <x:t xml:space="preserve">ល្អប្រសើរ</x:t>
  </x:si>
  <x:si>
    <x:t xml:space="preserve">80–89</x:t>
  </x:si>
  <x:si>
    <x:t xml:space="preserve">ល្អ</x:t>
  </x:si>
  <x:si>
    <x:t xml:space="preserve">Teamwork / Peer Support</x:t>
  </x:si>
  <x:si>
    <x:t xml:space="preserve">Peer Review</x:t>
  </x:si>
  <x:si>
    <x:t xml:space="preserve">70–79</x:t>
  </x:si>
  <x:si>
    <x:t xml:space="preserve">មធ្យមល្អ</x:t>
  </x:si>
  <x:si>
    <x:t xml:space="preserve">60–69</x:t>
  </x:si>
  <x:si>
    <x:t xml:space="preserve">មធ្យម</x:t>
  </x:si>
  <x:si>
    <x:t xml:space="preserve">&lt; 60</x:t>
  </x:si>
  <x:si>
    <x:t xml:space="preserve">ត្រូវកែលម្អ</x:t>
  </x:si>
  <x:si>
    <x:t xml:space="preserve">កូដវត្តមាន៖ 1 = មានវត្តមាន | L = យឺត | P = មានច្បាប់ | A = អវត្តមាន</x:t>
  </x:si>
  <x:si>
    <x:t xml:space="preserve">ព័ត៌មានសវនកម្ម GitHub និងសមាជិកក្រុម</x:t>
  </x:si>
  <x:si>
    <x:t xml:space="preserve">Repository</x:t>
  </x:si>
  <x:si>
    <x:t xml:space="preserve">Ny-Panha/Koupreng-invitation_project</x:t>
  </x:si>
  <x:si>
    <x:t xml:space="preserve">Branch</x:t>
  </x:si>
  <x:si>
    <x:t xml:space="preserve">main</x:t>
  </x:si>
  <x:si>
    <x:t xml:space="preserve">GitHub reviewed</x:t>
  </x:si>
  <x:si>
    <x:t xml:space="preserve">08-Sep-2026</x:t>
  </x:si>
  <x:si>
    <x:t xml:space="preserve">Deadline</x:t>
  </x:si>
  <x:si>
    <x:t xml:space="preserve">01-Dec-2026</x:t>
  </x:si>
  <x:si>
    <x:t xml:space="preserve">Team Leader</x:t>
  </x:si>
  <x:si>
    <x:t xml:space="preserve">កឿង វីរៈ (Koeurng Vireak)</x:t>
  </x:si>
  <x:si>
    <x:t xml:space="preserve">Members</x:t>
  </x:si>
  <x:si>
    <x:t xml:space="preserve">Mapped GitHub</x:t>
  </x:si>
  <x:si>
    <x:t xml:space="preserve">Unmapped</x:t>
  </x:si>
  <x:si>
    <x:t xml:space="preserve">សមាជិកក្រុម</x:t>
  </x:si>
  <x:si>
    <x:t xml:space="preserve">Name / GitHub</x:t>
  </x:si>
  <x:si>
    <x:t xml:space="preserve">តួនាទី</x:t>
  </x:si>
  <x:si>
    <x:t xml:space="preserve">ស្ថានភាពភស្តុតាង GitHub</x:t>
  </x:si>
  <x:si>
    <x:t xml:space="preserve">កឿង វីរៈ</x:t>
  </x:si>
  <x:si>
    <x:t xml:space="preserve">Koeurng Vireak / KoeurngVireakk</x:t>
  </x:si>
  <x:si>
    <x:t xml:space="preserve">ប្រធានក្រុម / Team Leader — Backend</x:t>
  </x:si>
  <x:si>
    <x:t xml:space="preserve">ផ្ទៀងផ្ទាត់ — PR និង Commit ច្រើន</x:t>
  </x:si>
  <x:si>
    <x:t xml:space="preserve">ឡាំ គីមឡុង</x:t>
  </x:si>
  <x:si>
    <x:t xml:space="preserve">Lam Kimlong / Kimlong1610</x:t>
  </x:si>
  <x:si>
    <x:t xml:space="preserve">Backend</x:t>
  </x:si>
  <x:si>
    <x:t xml:space="preserve">ផ្ទៀងផ្ទាត់ — Backend/API documentation commits</x:t>
  </x:si>
  <x:si>
    <x:t xml:space="preserve">នី បញ្ញា</x:t>
  </x:si>
  <x:si>
    <x:t xml:space="preserve">Ny Panha / Ny-Panha</x:t>
  </x:si>
  <x:si>
    <x:t xml:space="preserve">Frontend — User &amp; Admin</x:t>
  </x:si>
  <x:si>
    <x:t xml:space="preserve">ផ្ទៀងផ្ទាត់ — Template/Seating/Dev workflow commits</x:t>
  </x:si>
  <x:si>
    <x:t xml:space="preserve">គក់ ស្រីផ្កាយ</x:t>
  </x:si>
  <x:si>
    <x:t xml:space="preserve">Kouk SreyPkay</x:t>
  </x:si>
  <x:si>
    <x:t xml:space="preserve">Frontend — User</x:t>
  </x:si>
  <x:si>
    <x:t xml:space="preserve">មិនទាន់ផ្ទៀងផ្ទាត់ GitHub account</x:t>
  </x:si>
  <x:si>
    <x:t xml:space="preserve">រ៉ាន់ ណារ៉ាត់</x:t>
  </x:si>
  <x:si>
    <x:t xml:space="preserve">Ran Narath</x:t>
  </x:si>
  <x:si>
    <x:t xml:space="preserve">គុយ ដាលី</x:t>
  </x:si>
  <x:si>
    <x:t xml:space="preserve">Kuy Daly</x:t>
  </x:si>
  <x:si>
    <x:t xml:space="preserve">គោលការណ៍សវនកម្ម៖ GitHub Commit/PR គឺជាភស្តុតាងបច្ចេកទេសដែលអាចតាមដានបាន ប៉ុន្តែមិនត្រូវប្រើជំនួសការវាយតម្លៃគុណភាព ការចូលរួមប្រជុំ Documentation Demo និងការងារមិនមែនកូដឡើយ។ សម្រាប់សមាជិកដែលមិនទាន់ផ្ទៀងផ្ទាត់ GitHub account ត្រូវប្រើ Task Tracker / Meeting Log / Report / Demo ជាភស្តុតាងបន្ថែម។</x:t>
  </x:si>
  <x:si>
    <x:t xml:space="preserve">ប្រព័ន្ធគ្រប់គ្រងលិខិតអញ្ចើញឌីជីថល (E-Invitation) — ការវាយតម្លៃការចូលរួម និងការបំពេញភារកិច្ចប្រចាំសប្ដាហ៍</x:t>
  </x:si>
  <x:si>
    <x:t xml:space="preserve">រយៈពេលត្រួតពិនិត្យ៖ 09-09-2026 ដល់ 01-12-2026  |  កាលបរិច្ឆេទបញ្ចប់ចុងក្រោយ៖ 01-12-2026</x:t>
  </x:si>
  <x:si>
    <x:t xml:space="preserve">គោត្តនាម និងនាម</x:t>
  </x:si>
  <x:si>
    <x:t xml:space="preserve">Name in English</x:t>
  </x:si>
  <x:si>
    <x:t xml:space="preserve">តួនាទី / Role</x:t>
  </x:si>
  <x:si>
    <x:t xml:space="preserve">វត្តមាន និងការចូលរួមតាមសប្ដាហ៍</x:t>
  </x:si>
  <x:si>
    <x:t xml:space="preserve">សរុបវត្តមាន</x:t>
  </x:si>
  <x:si>
    <x:t xml:space="preserve">ពិន្ទុវាយតម្លៃដើម (0–100)</x:t>
  </x:si>
  <x:si>
    <x:t xml:space="preserve">ពិន្ទុបម្លែងតាមទម្ងន់</x:t>
  </x:si>
  <x:si>
    <x:t xml:space="preserve">លទ្ធផលសរុប</x:t>
  </x:si>
  <x:si>
    <x:t xml:space="preserve">09–15 កញ្ញា</x:t>
  </x:si>
  <x:si>
    <x:t xml:space="preserve">16–22 កញ្ញា</x:t>
  </x:si>
  <x:si>
    <x:t xml:space="preserve">23–29 កញ្ញា</x:t>
  </x:si>
  <x:si>
    <x:t xml:space="preserve">30 កញ្ញា–06 តុលា</x:t>
  </x:si>
  <x:si>
    <x:t xml:space="preserve">07–13 តុលា</x:t>
  </x:si>
  <x:si>
    <x:t xml:space="preserve">14–20 តុលា</x:t>
  </x:si>
  <x:si>
    <x:t xml:space="preserve">21–27 តុលា</x:t>
  </x:si>
  <x:si>
    <x:t xml:space="preserve">28 តុលា–03 វិច្ឆិកា</x:t>
  </x:si>
  <x:si>
    <x:t xml:space="preserve">04–10 វិច្ឆិកា</x:t>
  </x:si>
  <x:si>
    <x:t xml:space="preserve">11–17 វិច្ឆិកា</x:t>
  </x:si>
  <x:si>
    <x:t xml:space="preserve">18–24 វិច្ឆិកា</x:t>
  </x:si>
  <x:si>
    <x:t xml:space="preserve">25 វិច្ឆិកា–01 ធ្នូ</x:t>
  </x:si>
  <x:si>
    <x:t xml:space="preserve">ចំនួន 1</x:t>
  </x:si>
  <x:si>
    <x:t xml:space="preserve">% ចូលរួម</x:t>
  </x:si>
  <x:si>
    <x:t xml:space="preserve">ចូលរួម/
ទំនាក់ទំនង</x:t>
  </x:si>
  <x:si>
    <x:t xml:space="preserve">បំពេញ
Assignment</x:t>
  </x:si>
  <x:si>
    <x:t xml:space="preserve">គោរព
Deadline</x:t>
  </x:si>
  <x:si>
    <x:t xml:space="preserve">គុណភាព
ការងារ</x:t>
  </x:si>
  <x:si>
    <x:t xml:space="preserve">Git /
GitHub</x:t>
  </x:si>
  <x:si>
    <x:t xml:space="preserve">QA /
Testing</x:t>
  </x:si>
  <x:si>
    <x:t xml:space="preserve">ឯកសារ /
Report</x:t>
  </x:si>
  <x:si>
    <x:t xml:space="preserve">Initiative /
Problem</x:t>
  </x:si>
  <x:si>
    <x:t xml:space="preserve">Teamwork /
Peer</x:t>
  </x:si>
  <x:si>
    <x:t xml:space="preserve">សរុប /100</x:t>
  </x:si>
  <x:si>
    <x:t xml:space="preserve">កម្រិត</x:t>
  </x:si>
  <x:si>
    <x:t xml:space="preserve">ចំណាត់ថ្នាក់</x:t>
  </x:si>
  <x:si>
    <x:t xml:space="preserve">W1</x:t>
  </x:si>
  <x:si>
    <x:t xml:space="preserve">W2</x:t>
  </x:si>
  <x:si>
    <x:t xml:space="preserve">W3</x:t>
  </x:si>
  <x:si>
    <x:t xml:space="preserve">W4</x:t>
  </x:si>
  <x:si>
    <x:t xml:space="preserve">W5</x:t>
  </x:si>
  <x:si>
    <x:t xml:space="preserve">W6</x:t>
  </x:si>
  <x:si>
    <x:t xml:space="preserve">W7</x:t>
  </x:si>
  <x:si>
    <x:t xml:space="preserve">W8</x:t>
  </x:si>
  <x:si>
    <x:t xml:space="preserve">W9</x:t>
  </x:si>
  <x:si>
    <x:t xml:space="preserve">W10</x:t>
  </x:si>
  <x:si>
    <x:t xml:space="preserve">W11</x:t>
  </x:si>
  <x:si>
    <x:t xml:space="preserve">W12</x:t>
  </x:si>
  <x:si>
    <x:t xml:space="preserve">10%</x:t>
  </x:si>
  <x:si>
    <x:t xml:space="preserve">25%</x:t>
  </x:si>
  <x:si>
    <x:t xml:space="preserve">15%</x:t>
  </x:si>
  <x:si>
    <x:t xml:space="preserve">5%</x:t>
  </x:si>
  <x:si>
    <x:t xml:space="preserve">Koeurng Vireak</x:t>
  </x:si>
  <x:si>
    <x:t xml:space="preserve">W1 data entered 10-Sep-2026 from Team Leader input | GitHub mapping: KoeurngVireakk</x:t>
  </x:si>
  <x:si>
    <x:t xml:space="preserve">Lam Kimlong</x:t>
  </x:si>
  <x:si>
    <x:t xml:space="preserve">W1: Attendance = 1 (active). Team Leader confirmed assignment completed, video submitted, and work pushed to GitHub by 13-Sep-2026. Assignment = 100, Deadline = 100, GitHub = 100. Other categories remain blank until separately evaluated.</x:t>
  </x:si>
  <x:si>
    <x:t xml:space="preserve">Ny Panha</x:t>
  </x:si>
  <x:si>
    <x:t xml:space="preserve">A</x:t>
  </x:si>
  <x:si>
    <x:t xml:space="preserve">FINAL W1 at 14-Sep-2026 08:00: Assignment = 0. Ny-Panha is mapped, but no verifiable W1-003 branch/PR/commit or Telegram/video submission was available by the final check.</x:t>
  </x:si>
  <x:si>
    <x:t xml:space="preserve">FINAL W1 at 14-Sep-2026 08:00: Assignment = 0. No verified W1-004 GitHub or Telegram/video evidence was available.</x:t>
  </x:si>
  <x:si>
    <x:t xml:space="preserve">FINAL W1: Completed with verifiable GitHub evidence. GitHub account mapped from commit author rathbraz115-create. Assignment report 6a12c4e plus audio/countdown fixes 2c2ee3b and 874d222. Assignment = 100, Deadline = 100, GitHub = 100.</x:t>
  </x:si>
  <x:si>
    <x:t xml:space="preserve">W1: Attendance = 1 (active). Team Leader accepted Telegram error-report evidence (Google Login / Telegram Login issues) as completed assignment on 13-Sep-2026. Assignment = 100, Deadline = 100. Other categories remain blank until separately evaluated.</x:t>
  </x:si>
  <x:si>
    <x:t xml:space="preserve">បែបបទតាមដានការងារ និង Assignment របស់ក្រុម</x:t>
  </x:si>
  <x:si>
    <x:t xml:space="preserve">តារាងតាមដានការងារ / ភារកិច្ច — ប្រព័ន្ធគ្រប់គ្រងលិខិតអញ្ចើញឌីជីថល (E-Invitation) | ថ្ងៃផុតកំណត់ចុងក្រោយ៖ 01-Dec-2026</x:t>
  </x:si>
  <x:si>
    <x:t xml:space="preserve">ចំណាំ៖ Deadline របស់ការងារទាំងអស់ត្រូវមិនលើសពីថ្ងៃទី ០១ ខែធ្នូ ឆ្នាំ ២០២៦។ Historical rows ប្រើ Completion Date ពី GitHub; Planned rows ប្រើ Target Deadline។</x:t>
  </x:si>
  <x:si>
    <x:t xml:space="preserve">Task ID</x:t>
  </x:si>
  <x:si>
    <x:t xml:space="preserve">ការងារ / Assignment</x:t>
  </x:si>
  <x:si>
    <x:t xml:space="preserve">Module / Process</x:t>
  </x:si>
  <x:si>
    <x:t xml:space="preserve">អ្នកទទួលខុសត្រូវ</x:t>
  </x:si>
  <x:si>
    <x:t xml:space="preserve">Owner (English)</x:t>
  </x:si>
  <x:si>
    <x:t xml:space="preserve">ថ្ងៃចាត់តាំង</x:t>
  </x:si>
  <x:si>
    <x:t xml:space="preserve">ថ្ងៃបញ្ចប់</x:t>
  </x:si>
  <x:si>
    <x:t xml:space="preserve">អាទិភាព</x:t>
  </x:si>
  <x:si>
    <x:t xml:space="preserve">ស្ថានភាព</x:t>
  </x:si>
  <x:si>
    <x:t xml:space="preserve">Progress %</x:t>
  </x:si>
  <x:si>
    <x:t xml:space="preserve">Evidence / Link</x:t>
  </x:si>
  <x:si>
    <x:t xml:space="preserve">Reviewer / QA</x:t>
  </x:si>
  <x:si>
    <x:t xml:space="preserve">Quality /100</x:t>
  </x:si>
  <x:si>
    <x:t xml:space="preserve">Days Late</x:t>
  </x:si>
  <x:si>
    <x:t xml:space="preserve">H-001</x:t>
  </x:si>
  <x:si>
    <x:t xml:space="preserve">Media management + template payment flow</x:t>
  </x:si>
  <x:si>
    <x:t xml:space="preserve">Media / Payment</x:t>
  </x:si>
  <x:si>
    <x:t xml:space="preserve">—</x:t>
  </x:si>
  <x:si>
    <x:t xml:space="preserve">បានបញ្ចប់</x:t>
  </x:si>
  <x:si>
    <x:t xml:space="preserve">https://github.com/Ny-Panha/Koupreng-invitation_project/pull/2</x:t>
  </x:si>
  <x:si>
    <x:t xml:space="preserve">GitHub PR #2; media/storage/payment/Telegram implementation</x:t>
  </x:si>
  <x:si>
    <x:t xml:space="preserve">H-002</x:t>
  </x:si>
  <x:si>
    <x:t xml:space="preserve">Dynamic + Static ABA payment conflict resolution</x:t>
  </x:si>
  <x:si>
    <x:t xml:space="preserve">Payment / Telegram</x:t>
  </x:si>
  <x:si>
    <x:t xml:space="preserve">https://github.com/Ny-Panha/Koupreng-invitation_project/pull/3</x:t>
  </x:si>
  <x:si>
    <x:t xml:space="preserve">GitHub PR #3; backend tests 84</x:t>
  </x:si>
  <x:si>
    <x:t xml:space="preserve">H-003</x:t>
  </x:si>
  <x:si>
    <x:t xml:space="preserve">Account, payment, budget stabilization &amp; Flyway safety</x:t>
  </x:si>
  <x:si>
    <x:t xml:space="preserve">Backend / Database / Payment</x:t>
  </x:si>
  <x:si>
    <x:t xml:space="preserve">https://github.com/Ny-Panha/Koupreng-invitation_project/pull/4</x:t>
  </x:si>
  <x:si>
    <x:t xml:space="preserve">GitHub PR #4; backend tests 124</x:t>
  </x:si>
  <x:si>
    <x:t xml:space="preserve">H-004</x:t>
  </x:si>
  <x:si>
    <x:t xml:space="preserve">Post-merge QA/security tooling</x:t>
  </x:si>
  <x:si>
    <x:t xml:space="preserve">QA / Security</x:t>
  </x:si>
  <x:si>
    <x:t xml:space="preserve">https://github.com/Ny-Panha/Koupreng-invitation_project/pull/7</x:t>
  </x:si>
  <x:si>
    <x:t xml:space="preserve">Security / CSV / audit IP hardening</x:t>
  </x:si>
  <x:si>
    <x:t xml:space="preserve">H-005</x:t>
  </x:si>
  <x:si>
    <x:t xml:space="preserve">Garden Royal Khmer template audit cleanup</x:t>
  </x:si>
  <x:si>
    <x:t xml:space="preserve">Template / QA</x:t>
  </x:si>
  <x:si>
    <x:t xml:space="preserve">https://github.com/Ny-Panha/Koupreng-invitation_project/pull/9</x:t>
  </x:si>
  <x:si>
    <x:t xml:space="preserve">Backend 127 tests; public parity and QA checklist</x:t>
  </x:si>
  <x:si>
    <x:t xml:space="preserve">H-006</x:t>
  </x:si>
  <x:si>
    <x:t xml:space="preserve">Khmer wedding template renderer iteration</x:t>
  </x:si>
  <x:si>
    <x:t xml:space="preserve">Frontend / Template</x:t>
  </x:si>
  <x:si>
    <x:t xml:space="preserve">https://github.com/Ny-Panha/Koupreng-invitation_project/commit/2ba8578ff0b045f237e8277d326c4d969e2e647f</x:t>
  </x:si>
  <x:si>
    <x:t xml:space="preserve">Dynamic/Premium/Garden Royal template work</x:t>
  </x:si>
  <x:si>
    <x:t xml:space="preserve">H-007</x:t>
  </x:si>
  <x:si>
    <x:t xml:space="preserve">Repository cleanup and repository-wide quality gates</x:t>
  </x:si>
  <x:si>
    <x:t xml:space="preserve">QA / CI / Security</x:t>
  </x:si>
  <x:si>
    <x:t xml:space="preserve">https://github.com/Ny-Panha/Koupreng-invitation_project/commit/8ac78ee8d3fc3a74102441a0b0b69ee1d3d438ff</x:t>
  </x:si>
  <x:si>
    <x:t xml:space="preserve">Cleanup, CI, security, Playwright route-smoke evidence</x:t>
  </x:si>
  <x:si>
    <x:t xml:space="preserve">H-008</x:t>
  </x:si>
  <x:si>
    <x:t xml:space="preserve">User/Admin feature modernization</x:t>
  </x:si>
  <x:si>
    <x:t xml:space="preserve">Frontend / Admin</x:t>
  </x:si>
  <x:si>
    <x:t xml:space="preserve">https://github.com/Ny-Panha/Koupreng-invitation_project/commit/a56d0b49e74724c34faa90981d8eb4991cd0cf4a</x:t>
  </x:si>
  <x:si>
    <x:t xml:space="preserve">Dashboard, builder, guest, budget, gifts, seating, admin</x:t>
  </x:si>
  <x:si>
    <x:t xml:space="preserve">H-009</x:t>
  </x:si>
  <x:si>
    <x:t xml:space="preserve">AI invitation writing assistant + helper triggers</x:t>
  </x:si>
  <x:si>
    <x:t xml:space="preserve">AI / Frontend</x:t>
  </x:si>
  <x:si>
    <x:t xml:space="preserve">https://github.com/Ny-Panha/Koupreng-invitation_project/commit/c923eff5810d7d11f8312f6e409f0d39a88e041d</x:t>
  </x:si>
  <x:si>
    <x:t xml:space="preserve">Invitation writing assistant</x:t>
  </x:si>
  <x:si>
    <x:t xml:space="preserve">H-010</x:t>
  </x:si>
  <x:si>
    <x:t xml:space="preserve">A–K full project flow QA verification</x:t>
  </x:si>
  <x:si>
    <x:t xml:space="preserve">QA / E2E</x:t>
  </x:si>
  <x:si>
    <x:t xml:space="preserve">https://github.com/Ny-Panha/Koupreng-invitation_project/pull/10</x:t>
  </x:si>
  <x:si>
    <x:t xml:space="preserve">127 backend tests; lint/build; 22/22 route smoke</x:t>
  </x:si>
  <x:si>
    <x:t xml:space="preserve">H-011</x:t>
  </x:si>
  <x:si>
    <x:t xml:space="preserve">Dependency and business-flow hardening</x:t>
  </x:si>
  <x:si>
    <x:t xml:space="preserve">Security / CI</x:t>
  </x:si>
  <x:si>
    <x:t xml:space="preserve">https://github.com/Ny-Panha/Koupreng-invitation_project/commit/57892c718869b4fc4bd80c47eb2b14c87c894547</x:t>
  </x:si>
  <x:si>
    <x:t xml:space="preserve">Backend dependency patch + CI sync</x:t>
  </x:si>
  <x:si>
    <x:t xml:space="preserve">H-012</x:t>
  </x:si>
  <x:si>
    <x:t xml:space="preserve">Legacy authentication storage fix</x:t>
  </x:si>
  <x:si>
    <x:t xml:space="preserve">Authentication</x:t>
  </x:si>
  <x:si>
    <x:t xml:space="preserve">https://github.com/Ny-Panha/Koupreng-invitation_project/commit/481ab54194ef580f9b9be872c9b2da873315187c</x:t>
  </x:si>
  <x:si>
    <x:t xml:space="preserve">Traceable commit by Kimlong1610</x:t>
  </x:si>
  <x:si>
    <x:t xml:space="preserve">H-013</x:t>
  </x:si>
  <x:si>
    <x:t xml:space="preserve">Dashboard/template catalog UI polish</x:t>
  </x:si>
  <x:si>
    <x:t xml:space="preserve">Frontend / UI</x:t>
  </x:si>
  <x:si>
    <x:t xml:space="preserve">https://github.com/Ny-Panha/Koupreng-invitation_project/commit/d61d7b1a590093f5c673a7ee214be56132f60837</x:t>
  </x:si>
  <x:si>
    <x:t xml:space="preserve">Traceable commit by Ny-Panha</x:t>
  </x:si>
  <x:si>
    <x:t xml:space="preserve">H-014</x:t>
  </x:si>
  <x:si>
    <x:t xml:space="preserve">Feature modularization + wedding builder/test suites</x:t>
  </x:si>
  <x:si>
    <x:t xml:space="preserve">Architecture / Frontend / Tests</x:t>
  </x:si>
  <x:si>
    <x:t xml:space="preserve">https://github.com/Ny-Panha/Koupreng-invitation_project/commit/36332bd59b5a2558a0fca69ff61ee9acdd2d8770</x:t>
  </x:si>
  <x:si>
    <x:t xml:space="preserve">H-015</x:t>
  </x:si>
  <x:si>
    <x:t xml:space="preserve">Canva-style seating floor plan</x:t>
  </x:si>
  <x:si>
    <x:t xml:space="preserve">Seating / UI</x:t>
  </x:si>
  <x:si>
    <x:t xml:space="preserve">https://github.com/Ny-Panha/Koupreng-invitation_project/commit/d484ad24d2c1a9605f900e32670ba374492aecfb</x:t>
  </x:si>
  <x:si>
    <x:t xml:space="preserve">Auto-arrange, anti-overlap, 100-table support</x:t>
  </x:si>
  <x:si>
    <x:t xml:space="preserve">H-016</x:t>
  </x:si>
  <x:si>
    <x:t xml:space="preserve">Secure OpenAPI + Scalar portal + dev fixtures</x:t>
  </x:si>
  <x:si>
    <x:t xml:space="preserve">Backend / API Docs</x:t>
  </x:si>
  <x:si>
    <x:t xml:space="preserve">https://github.com/Ny-Panha/Koupreng-invitation_project/commit/4d6f27b68e68d4773a7c6faa0e98f4013115c651</x:t>
  </x:si>
  <x:si>
    <x:t xml:space="preserve">OpenAPI/Scalar development documentation</x:t>
  </x:si>
  <x:si>
    <x:t xml:space="preserve">H-017</x:t>
  </x:si>
  <x:si>
    <x:t xml:space="preserve">Swagger UI and API documentation settings</x:t>
  </x:si>
  <x:si>
    <x:t xml:space="preserve">https://github.com/Ny-Panha/Koupreng-invitation_project/commit/468024ee6a17e161417f2154f2f9c1f9fb56d31a</x:t>
  </x:si>
  <x:si>
    <x:t xml:space="preserve">H-018</x:t>
  </x:si>
  <x:si>
    <x:t xml:space="preserve">Team Git automation to prevent code collisions</x:t>
  </x:si>
  <x:si>
    <x:t xml:space="preserve">Team Workflow / Git</x:t>
  </x:si>
  <x:si>
    <x:t xml:space="preserve">https://github.com/Ny-Panha/Koupreng-invitation_project/commit/c7512d6fdeae920bb4c1da031f852dd8ae7b517f</x:t>
  </x:si>
  <x:si>
    <x:t xml:space="preserve">Team workflow evidence</x:t>
  </x:si>
  <x:si>
    <x:t xml:space="preserve">H-019</x:t>
  </x:si>
  <x:si>
    <x:t xml:space="preserve">Template live preview sync and curtain gate fix</x:t>
  </x:si>
  <x:si>
    <x:t xml:space="preserve">Template / Frontend</x:t>
  </x:si>
  <x:si>
    <x:t xml:space="preserve">https://github.com/Ny-Panha/Koupreng-invitation_project/commit/59eec270c00e1d96d8b97b428a0fefcc6b77dde5</x:t>
  </x:si>
  <x:si>
    <x:t xml:space="preserve">Latest reviewed main commit</x:t>
  </x:si>
  <x:si>
    <x:t xml:space="preserve">P-001</x:t>
  </x:si>
  <x:si>
    <x:t xml:space="preserve">ផ្ទៀងផ្ទាត់ GitHub account និង Evidence របស់សមាជិកទាំង ៦</x:t>
  </x:si>
  <x:si>
    <x:t xml:space="preserve">Team Audit</x:t>
  </x:si>
  <x:si>
    <x:t xml:space="preserve">ក្រុមទាំងមូល</x:t>
  </x:si>
  <x:si>
    <x:t xml:space="preserve">Whole Team</x:t>
  </x:si>
  <x:si>
    <x:t xml:space="preserve">ខ្ពស់</x:t>
  </x:si>
  <x:si>
    <x:t xml:space="preserve">កំពុងធ្វើ</x:t>
  </x:si>
  <x:si>
    <x:t xml:space="preserve">វាយតម្លៃក្រុម + ភស្តុតាង GitHub</x:t>
  </x:si>
  <x:si>
    <x:t xml:space="preserve">ត្រូវ mapping សមាជិក 3 នាក់ទៀតដោយមិនសន្និដ្ឋាន</x:t>
  </x:si>
  <x:si>
    <x:t xml:space="preserve">P-002</x:t>
  </x:si>
  <x:si>
    <x:t xml:space="preserve">Rotate leaked/old Telegram credential និងកំណត់ incident owner</x:t>
  </x:si>
  <x:si>
    <x:t xml:space="preserve">Security</x:t>
  </x:si>
  <x:si>
    <x:t xml:space="preserve">បន្ទាន់</x:t>
  </x:si>
  <x:si>
    <x:t xml:space="preserve">គ្រោង</x:t>
  </x:si>
  <x:si>
    <x:t xml:space="preserve">docs/security/credential-incident-response.md</x:t>
  </x:si>
  <x:si>
    <x:t xml:space="preserve">ត្រូវចាត់តាំង</x:t>
  </x:si>
  <x:si>
    <x:t xml:space="preserve">Release blocker from QA evidence</x:t>
  </x:si>
  <x:si>
    <x:t xml:space="preserve">P-003</x:t>
  </x:si>
  <x:si>
    <x:t xml:space="preserve">Git history remediation / Gitleaks 29 findings triage</x:t>
  </x:si>
  <x:si>
    <x:t xml:space="preserve">Security / Git</x:t>
  </x:si>
  <x:si>
    <x:t xml:space="preserve">docs/qa/known-limitations.md</x:t>
  </x:si>
  <x:si>
    <x:t xml:space="preserve">Coordinate history rewrite and collaborator re-clone</x:t>
  </x:si>
  <x:si>
    <x:t xml:space="preserve">P-004</x:t>
  </x:si>
  <x:si>
    <x:t xml:space="preserve">Complete Java/Maven vulnerability advisory scan</x:t>
  </x:si>
  <x:si>
    <x:t xml:space="preserve">Backend / Security</x:t>
  </x:si>
  <x:si>
    <x:t xml:space="preserve">Current local OWASP report incomplete</x:t>
  </x:si>
  <x:si>
    <x:t xml:space="preserve">P-005</x:t>
  </x:si>
  <x:si>
    <x:t xml:space="preserve">Live Google + Telegram authentication validation</x:t>
  </x:si>
  <x:si>
    <x:t xml:space="preserve">Authentication / Integration</x:t>
  </x:si>
  <x:si>
    <x:t xml:space="preserve">Integration evidence / screenshots</x:t>
  </x:si>
  <x:si>
    <x:t xml:space="preserve">External/manual validation required</x:t>
  </x:si>
  <x:si>
    <x:t xml:space="preserve">P-006</x:t>
  </x:si>
  <x:si>
    <x:t xml:space="preserve">Live ABA checkout/callback + Telegram payment detection test</x:t>
  </x:si>
  <x:si>
    <x:t xml:space="preserve">Payment / Integration</x:t>
  </x:si>
  <x:si>
    <x:t xml:space="preserve">Payment test evidence</x:t>
  </x:si>
  <x:si>
    <x:t xml:space="preserve">Must verify real payment reconciliation</x:t>
  </x:si>
  <x:si>
    <x:t xml:space="preserve">P-007</x:t>
  </x:si>
  <x:si>
    <x:t xml:space="preserve">SMTP/email + storage/Cloudinary + DNS/TLS/CORS validation</x:t>
  </x:si>
  <x:si>
    <x:t xml:space="preserve">Infrastructure / Integration</x:t>
  </x:si>
  <x:si>
    <x:t xml:space="preserve">Deployment configuration evidence</x:t>
  </x:si>
  <x:si>
    <x:t xml:space="preserve">External services validation</x:t>
  </x:si>
  <x:si>
    <x:t xml:space="preserve">P-008</x:t>
  </x:si>
  <x:si>
    <x:t xml:space="preserve">Staging deployment + Railway/service topology evidence</x:t>
  </x:si>
  <x:si>
    <x:t xml:space="preserve">Deployment</x:t>
  </x:si>
  <x:si>
    <x:t xml:space="preserve">Deployment URL / logs / service mapping</x:t>
  </x:si>
  <x:si>
    <x:t xml:space="preserve">No Railway-ready claim until evidence exists</x:t>
  </x:si>
  <x:si>
    <x:t xml:space="preserve">P-009</x:t>
  </x:si>
  <x:si>
    <x:t xml:space="preserve">Full staging E2E: create/edit/publish/RSVP/admin/payment</x:t>
  </x:si>
  <x:si>
    <x:t xml:space="preserve">Staging E2E report</x:t>
  </x:si>
  <x:si>
    <x:t xml:space="preserve">ក្រុម QA</x:t>
  </x:si>
  <x:si>
    <x:t xml:space="preserve">Representative staging data required</x:t>
  </x:si>
  <x:si>
    <x:t xml:space="preserve">P-010</x:t>
  </x:si>
  <x:si>
    <x:t xml:space="preserve">Accessibility + performance + large bundle optimization review</x:t>
  </x:si>
  <x:si>
    <x:t xml:space="preserve">QA / UX / Performance</x:t>
  </x:si>
  <x:si>
    <x:t xml:space="preserve">Lighthouse / a11y checklist / build metrics</x:t>
  </x:si>
  <x:si>
    <x:t xml:space="preserve">Includes focus, contrast, reduced motion, performance budgets</x:t>
  </x:si>
  <x:si>
    <x:t xml:space="preserve">P-011</x:t>
  </x:si>
  <x:si>
    <x:t xml:space="preserve">Final project report, API/ERD/architecture/user guide evidence</x:t>
  </x:si>
  <x:si>
    <x:t xml:space="preserve">Documentation</x:t>
  </x:si>
  <x:si>
    <x:t xml:space="preserve">Final report / diagrams / appendix</x:t>
  </x:si>
  <x:si>
    <x:t xml:space="preserve">Align with university project paper guideline</x:t>
  </x:si>
  <x:si>
    <x:t xml:space="preserve">P-012</x:t>
  </x:si>
  <x:si>
    <x:t xml:space="preserve">Final demo, defense rehearsal, backup &amp; recovery drill</x:t>
  </x:si>
  <x:si>
    <x:t xml:space="preserve">Finalization</x:t>
  </x:si>
  <x:si>
    <x:t xml:space="preserve">Demo checklist / backup evidence</x:t>
  </x:si>
  <x:si>
    <x:t xml:space="preserve">All members participate</x:t>
  </x:si>
  <x:si>
    <x:t xml:space="preserve">P-013</x:t>
  </x:si>
  <x:si>
    <x:t xml:space="preserve">Final QA/QC, code freeze, evidence archive and submission</x:t>
  </x:si>
  <x:si>
    <x:t xml:space="preserve">Project Closure</x:t>
  </x:si>
  <x:si>
    <x:t xml:space="preserve">Final build + submission package</x:t>
  </x:si>
  <x:si>
    <x:t xml:space="preserve">គ្រប់ Process ត្រូវបញ្ចប់ត្រឹម 01-Dec-2026</x:t>
  </x:si>
  <x:si>
    <x:t xml:space="preserve">W1-001</x:t>
  </x:si>
  <x:si>
    <x:t xml:space="preserve">Backend security/API regression + OWASP Java dependency report</x:t>
  </x:si>
  <x:si>
    <x:t xml:space="preserve">Backend / Security / API</x:t>
  </x:si>
  <x:si>
    <x:t xml:space="preserve">Completed — Team Leader confirmed video submission and GitHub push on 13-Sep-2026. Evidence supported by Telegram submission screenshot and repository activity.</x:t>
  </x:si>
  <x:si>
    <x:t xml:space="preserve">W1 complete. Attendance active/present. Video + GitHub push confirmed by Team Leader.</x:t>
  </x:si>
  <x:si>
    <x:t xml:space="preserve">W1-002</x:t>
  </x:si>
  <x:si>
    <x:t xml:space="preserve">Payment/Telegram backend integration readiness and regression tests</x:t>
  </x:si>
  <x:si>
    <x:t xml:space="preserve">Backend / Payment / Telegram</x:t>
  </x:si>
  <x:si>
    <x:t xml:space="preserve">Completed — Team Leader accepted reported Google Login / Telegram Login errors as the W1 assignment contribution. Evidence: Telegram error-report video/screenshot shared on 13-Sep-2026.</x:t>
  </x:si>
  <x:si>
    <x:t xml:space="preserve">W1 complete by Team Leader decision. Contribution counted as QA/error reporting for payment/auth integration readiness.</x:t>
  </x:si>
  <x:si>
    <x:t xml:space="preserve">W1-003</x:t>
  </x:si>
  <x:si>
    <x:t xml:space="preserve">User + Admin frontend integration regression and priority bug fixes</x:t>
  </x:si>
  <x:si>
    <x:t xml:space="preserve">Frontend / User / Admin</x:t>
  </x:si>
  <x:si>
    <x:t xml:space="preserve">មិនទាន់មាន Evidence</x:t>
  </x:si>
  <x:si>
    <x:t xml:space="preserve">Final W1 check at 14-Sep-2026 08:00: no assignment-specific branch/PR/commit or Telegram/video evidence verified for W1-003 (User + Admin frontend integration regression + P0/P1 fixes).</x:t>
  </x:si>
  <x:si>
    <x:t xml:space="preserve">FINAL W1: Assignment score = 0. No verifiable completion evidence by the 08:00 final check.</x:t>
  </x:si>
  <x:si>
    <x:t xml:space="preserve">W1-004</x:t>
  </x:si>
  <x:si>
    <x:t xml:space="preserve">User frontend responsive + accessibility QA and fixes</x:t>
  </x:si>
  <x:si>
    <x:t xml:space="preserve">Frontend / User / UX / A11y</x:t>
  </x:si>
  <x:si>
    <x:t xml:space="preserve">Final W1 check at 14-Sep-2026 08:00: no verified GitHub identity, assignment-specific branch/PR/commit, or Telegram/video evidence for W1-004 (responsive + accessibility QA/fixes).</x:t>
  </x:si>
  <x:si>
    <x:t xml:space="preserve">W1-005</x:t>
  </x:si>
  <x:si>
    <x:t xml:space="preserve">Public invitation + RSVP visual/functional QA</x:t>
  </x:si>
  <x:si>
    <x:t xml:space="preserve">Frontend / Public / RSVP / Template QA</x:t>
  </x:si>
  <x:si>
    <x:t xml:space="preserve">Verified GitHub evidence for Ran Narath / rathbraz115-create. Assignment report commit: https://github.com/Ny-Panha/Koupreng-invitation_project/commit/6a12c4e82b688a120d5adb6a009396777df881a8 ; public invitation audio fix: https://github.com/Ny-Panha/Koupreng-invitation_project/commit/2c2ee3b46655db9ffc8f8184ca7b090919a81d9e ; countdown fix: https://github.com/Ny-Panha/Koupreng-invitation_project/commit/874d2227f9822cf16cbeea280b1c008d5745b587</x:t>
  </x:si>
  <x:si>
    <x:t xml:space="preserve">FINAL W1: Completed. Report was committed before the Sunday deadline; follow-up public-template fixes were also pushed before the 08:00 final audit. Assignment accepted as verifiable.</x:t>
  </x:si>
  <x:si>
    <x:t xml:space="preserve">កំណត់ហេតុប្រជុំ ការចូលរួម និងសកម្មភាពរបស់ក្រុម</x:t>
  </x:si>
  <x:si>
    <x:t xml:space="preserve">កំណត់ត្រាកិច្ចប្រជុំ និងការចូលរួម — ប្រព័ន្ធគ្រប់គ្រងលិខិតអញ្ចើញឌីជីថល (E-Invitation) | 09-Sep-2026 ដល់ 01-Dec-2026</x:t>
  </x:si>
  <x:si>
    <x:t xml:space="preserve">ប្រើសន្លឹកនេះសម្រាប់កត់ត្រាប្រជុំពិតប្រាកដ៖ អ្នកចូលរួម សេចក្តីសម្រេច Action Items អ្នកទទួលខុសត្រូវ Due Date និង Evidence។ មិនបានបង្កើត Attendance ក្លែងក្លាយជាមុនទេ។</x:t>
  </x:si>
  <x:si>
    <x:t xml:space="preserve">កាលបរិច្ឆេទ</x:t>
  </x:si>
  <x:si>
    <x:t xml:space="preserve">សប្ដាហ៍</x:t>
  </x:si>
  <x:si>
    <x:t xml:space="preserve">ប្រធានបទប្រជុំ</x:t>
  </x:si>
  <x:si>
    <x:t xml:space="preserve">អ្នកចូលរួម</x:t>
  </x:si>
  <x:si>
    <x:t xml:space="preserve">អវត្តមាន/ច្បាប់</x:t>
  </x:si>
  <x:si>
    <x:t xml:space="preserve">សេចក្តីសម្រេចសំខាន់</x:t>
  </x:si>
  <x:si>
    <x:t xml:space="preserve">Action Items</x:t>
  </x:si>
  <x:si>
    <x:t xml:space="preserve">Due Date</x:t>
  </x:si>
  <x:si>
    <x:t xml:space="preserve">ប្រវត្តិការអភិវឌ្ឍគម្រោង និងសកម្មភាពសំខាន់ៗ</x:t>
  </x:si>
  <x:si>
    <x:t xml:space="preserve">ប្រព័ន្ធគ្រប់គ្រងលិខិតអញ្ចើញឌីជីថល (E-Invitation) — Consolidated Project History | បញ្ចប់គ្រប់ដំណើរការត្រឹម 01-Dec-2026</x:t>
  </x:si>
  <x:si>
    <x:t xml:space="preserve">ប្រភេទ</x:t>
  </x:si>
  <x:si>
    <x:t xml:space="preserve">ដំណាក់កាល / ការងារ</x:t>
  </x:si>
  <x:si>
    <x:t xml:space="preserve">សេចក្ដីសង្ខេប</x:t>
  </x:si>
  <x:si>
    <x:t xml:space="preserve">អ្នកពាក់ព័ន្ធ</x:t>
  </x:si>
  <x:si>
    <x:t xml:space="preserve">ភស្តុតាង / Reference</x:t>
  </x:si>
  <x:si>
    <x:t xml:space="preserve">Project Analysis</x:t>
  </x:si>
  <x:si>
    <x:t xml:space="preserve">System analysis, core features, DFD/ERD និង Security</x:t>
  </x:si>
  <x:si>
    <x:t xml:space="preserve">វិភាគគំរូ E-Invitation, កំណត់ Core Features, សិក្សា DFD/ERD, WAF និង Payment flow សម្រាប់ប្រព័ន្ធ។</x:t>
  </x:si>
  <x:si>
    <x:t xml:space="preserve">ក្រុមគម្រោង / Team Leader</x:t>
  </x:si>
  <x:si>
    <x:t xml:space="preserve">បានរៀបចំ</x:t>
  </x:si>
  <x:si>
    <x:t xml:space="preserve">Project chat history</x:t>
  </x:si>
  <x:si>
    <x:t xml:space="preserve">Project Setup</x:t>
  </x:si>
  <x:si>
    <x:t xml:space="preserve">រៀបចំ Technology Stack និង Project Structure</x:t>
  </x:si>
  <x:si>
    <x:t xml:space="preserve">Spring Boot + Maven, ReactJS/Vite, MySQL, FastAPI, Git និងការរៀបចំ backend/frontend structure។</x:t>
  </x:si>
  <x:si>
    <x:t xml:space="preserve">ក្រុមគម្រោង</x:t>
  </x:si>
  <x:si>
    <x:t xml:space="preserve">Configuration</x:t>
  </x:si>
  <x:si>
    <x:t xml:space="preserve">.env និង Google OAuth</x:t>
  </x:si>
  <x:si>
    <x:t xml:space="preserve">រៀបចំ environment variables និង OAuth client configuration សម្រាប់ authentication។</x:t>
  </x:si>
  <x:si>
    <x:t xml:space="preserve">Payment Design</x:t>
  </x:si>
  <x:si>
    <x:t xml:space="preserve">ABA PayWay + Telegram confirmation</x:t>
  </x:si>
  <x:si>
    <x:t xml:space="preserve">រចនា static ABA PayWay link, QR/deeplink និង semi-automatic Telegram payment confirmation ដោយមាន Order/User/Template evidence។</x:t>
  </x:si>
  <x:si>
    <x:t xml:space="preserve">Database</x:t>
  </x:si>
  <x:si>
    <x:t xml:space="preserve">ERD និង Relational Design</x:t>
  </x:si>
  <x:si>
    <x:t xml:space="preserve">រៀបចំ users, templates, invitations, sections, media, guests, RSVP, payments និង relationship សម្រាប់ MySQL/Flyway។</x:t>
  </x:si>
  <x:si>
    <x:t xml:space="preserve">AI / Feature Planning</x:t>
  </x:si>
  <x:si>
    <x:t xml:space="preserve">AI integration និង Payment/Media implementation planning</x:t>
  </x:si>
  <x:si>
    <x:t xml:space="preserve">ពិភាក្សាការរួមបញ្ចូល AI/ML និងរៀបចំ implementation plan សម្រាប់ media និង template payment flow។</x:t>
  </x:si>
  <x:si>
    <x:t xml:space="preserve">GitHub PR</x:t>
  </x:si>
  <x:si>
    <x:t xml:space="preserve">Media + Template Payment Flow</x:t>
  </x:si>
  <x:si>
    <x:t xml:space="preserve">បន្ថែម media management, storage abstraction, media API/Flyway, static ABA payment, admin confirmation, frontend checkout និង Telegram bot។</x:t>
  </x:si>
  <x:si>
    <x:t xml:space="preserve">Resolve Payment Conflict Flows</x:t>
  </x:si>
  <x:si>
    <x:t xml:space="preserve">រក្សា dynamic ABA QR និងបន្ថែម static ABA/Telegram flow ជាមួយ backend security/testing។</x:t>
  </x:si>
  <x:si>
    <x:t xml:space="preserve">Integration</x:t>
  </x:si>
  <x:si>
    <x:t xml:space="preserve">Frontend ↔ Backend + Flyway cleanup</x:t>
  </x:si>
  <x:si>
    <x:t xml:space="preserve">រៀបចំការតភ្ជាប់ ReactJS និង Spring Boot និងសម្អាត database/entity/Flyway structure ដើម្បីរក្សា UI/UX របស់ក្រុម។</x:t>
  </x:si>
  <x:si>
    <x:t xml:space="preserve">Account/Payment/Budget Hardening</x:t>
  </x:si>
  <x:si>
    <x:t xml:space="preserve">Stabilization, forward-only Flyway migration, static ABA safety, internal payment secret, auth/account/budget validation និង merge conflict cleanup។</x:t>
  </x:si>
  <x:si>
    <x:t xml:space="preserve">Post-merge QA + Security Hardening</x:t>
  </x:si>
  <x:si>
    <x:t xml:space="preserve">QA audit tooling, admin login route, CSV/audit IP hardening និង browser smoke support។</x:t>
  </x:si>
  <x:si>
    <x:t xml:space="preserve">Template QA</x:t>
  </x:si>
  <x:si>
    <x:t xml:space="preserve">Garden Royal Khmer Wedding Template</x:t>
  </x:si>
  <x:si>
    <x:t xml:space="preserve">សម្អាត duplicate migration, កែ public parity, story sync និង update QA checklist សម្រាប់ Garden Royal template។</x:t>
  </x:si>
  <x:si>
    <x:t xml:space="preserve">AI / LLM</x:t>
  </x:si>
  <x:si>
    <x:t xml:space="preserve">LLM Integration Review</x:t>
  </x:si>
  <x:si>
    <x:t xml:space="preserve">ពិភាក្សាអំពីការរួមបញ្ចូល LLM សម្រាប់ invitation writing/smart suggestions និងការប្រើ AI ជាផ្នែកបន្ថែម។</x:t>
  </x:si>
  <x:si>
    <x:t xml:space="preserve">Team Leader / ក្រុមគម្រោង</x:t>
  </x:si>
  <x:si>
    <x:t xml:space="preserve">QA</x:t>
  </x:si>
  <x:si>
    <x:t xml:space="preserve">Smoke Test និង Production Readiness</x:t>
  </x:si>
  <x:si>
    <x:t xml:space="preserve">កំណត់និយមន័យ Smoke Test និងការប្រើប្រាស់ក្នុង project QA/QC។</x:t>
  </x:si>
  <x:si>
    <x:t xml:space="preserve">Architecture</x:t>
  </x:si>
  <x:si>
    <x:t xml:space="preserve">Low-budget Deployment Architecture</x:t>
  </x:si>
  <x:si>
    <x:t xml:space="preserve">Cloudflare → VPS/Nginx → Docker Compose services: React, Spring Boot, FastAPI, MySQL, Redis និង Telegram/payment worker។</x:t>
  </x:si>
  <x:si>
    <x:t xml:space="preserve">Implementation</x:t>
  </x:si>
  <x:si>
    <x:t xml:space="preserve">Khmer Wedding Template Iteration</x:t>
  </x:si>
  <x:si>
    <x:t xml:space="preserve">Dynamic/Premium Canva Khmer wedding renderer, Garden Royal styling, location fallback និង visual improvements។</x:t>
  </x:si>
  <x:si>
    <x:t xml:space="preserve">https://github.com/Ny-Panha/Koupreng-invitation_project/commit/c6aa34ed8f72eeda3a35715e1e5053222ddac36c</x:t>
  </x:si>
  <x:si>
    <x:t xml:space="preserve">Repository Audit</x:t>
  </x:si>
  <x:si>
    <x:t xml:space="preserve">Repository Cleanup + QA/QC</x:t>
  </x:si>
  <x:si>
    <x:t xml:space="preserve">សម្អាត unused assets/routes, រៀបចំ scripts, CI quality gates, backend migration gates, Playwright route smoke, security redaction និង QA evidence។</x:t>
  </x:si>
  <x:si>
    <x:t xml:space="preserve">Feature Modernization</x:t>
  </x:si>
  <x:si>
    <x:t xml:space="preserve">User/Admin Platform Modernization</x:t>
  </x:si>
  <x:si>
    <x:t xml:space="preserve">Dashboard, invitation builder, AI writing assistant, organization workspace, guest management, budget, gifts, RSVP/check-in/seating និង admin workflows។</x:t>
  </x:si>
  <x:si>
    <x:t xml:space="preserve">Verify A–K Project Flows</x:t>
  </x:si>
  <x:si>
    <x:t xml:space="preserve">បន្ថែម full A–K QA report, route aliases, lint cleanup និង 22/22 route smoke verification។</x:t>
  </x:si>
  <x:si>
    <x:t xml:space="preserve">Business Flow + Dependency Hardening</x:t>
  </x:si>
  <x:si>
    <x:t xml:space="preserve">Harden frontend/backend business flows, sync frontend dependencies/CI gates និង patch backend dependency vulnerabilities។</x:t>
  </x:si>
  <x:si>
    <x:t xml:space="preserve">Legacy session/auth storage improvement</x:t>
  </x:si>
  <x:si>
    <x:t xml:space="preserve">កែ storage handling សម្រាប់ legacy session authentication និង initial state reading។</x:t>
  </x:si>
  <x:si>
    <x:t xml:space="preserve">UI / Dashboard</x:t>
  </x:si>
  <x:si>
    <x:t xml:space="preserve">Dashboard &amp; Template Catalog Polish</x:t>
  </x:si>
  <x:si>
    <x:t xml:space="preserve">កែ draft 404 console errors និង polish template catalog/dashboard UI។</x:t>
  </x:si>
  <x:si>
    <x:t xml:space="preserve">Workflow Diagram</x:t>
  </x:si>
  <x:si>
    <x:t xml:space="preserve">រៀបចំ workflow diagram សម្រាប់ project ដើម្បីបង្ហាញ process និង system flow។</x:t>
  </x:si>
  <x:si>
    <x:t xml:space="preserve">Architecture / Code</x:t>
  </x:si>
  <x:si>
    <x:t xml:space="preserve">Feature Modularization</x:t>
  </x:si>
  <x:si>
    <x:t xml:space="preserve">Modularize features, update wedding builder/templates និង backend test suites។</x:t>
  </x:si>
  <x:si>
    <x:t xml:space="preserve">Seating</x:t>
  </x:si>
  <x:si>
    <x:t xml:space="preserve">Canva-style Seating Floor Plan</x:t>
  </x:si>
  <x:si>
    <x:t xml:space="preserve">Auto-arrange grid, anti-overlap និង support ដល់ 100 tables។</x:t>
  </x:si>
  <x:si>
    <x:t xml:space="preserve">Backend Docs</x:t>
  </x:si>
  <x:si>
    <x:t xml:space="preserve">Secure OpenAPI / Scalar</x:t>
  </x:si>
  <x:si>
    <x:t xml:space="preserve">Secure OpenAPI documentation, static analysis cleanup, Scalar API portal និង dev fixtures។</x:t>
  </x:si>
  <x:si>
    <x:t xml:space="preserve">Swagger UI + API documentation settings</x:t>
  </x:si>
  <x:si>
    <x:t xml:space="preserve">Enable Swagger UI និង update API documentation configuration។</x:t>
  </x:si>
  <x:si>
    <x:t xml:space="preserve">Team Workflow</x:t>
  </x:si>
  <x:si>
    <x:t xml:space="preserve">Git automation to prevent code collisions</x:t>
  </x:si>
  <x:si>
    <x:t xml:space="preserve">បន្ថែម team Git automation scripts សម្រាប់កាត់បន្ថយ merge/code collision។</x:t>
  </x:si>
  <x:si>
    <x:t xml:space="preserve">Template Fix</x:t>
  </x:si>
  <x:si>
    <x:t xml:space="preserve">Live Preview Sync / Curtain Gate</x:t>
  </x:si>
  <x:si>
    <x:t xml:space="preserve">កែ live preview sync និង curtain gate style overlay ក្នុង dedicated layouts។</x:t>
  </x:si>
  <x:si>
    <x:t xml:space="preserve">Audit</x:t>
  </x:si>
  <x:si>
    <x:t xml:space="preserve">Team Participation &amp; Contribution Report</x:t>
  </x:si>
  <x:si>
    <x:t xml:space="preserve">រៀបចំ Excel audit form មាន weekly attendance, assignment, GitHub evidence, QA/QC, task tracker និង final deadline 01-Dec-2026។</x:t>
  </x:si>
  <x:si>
    <x:t xml:space="preserve">កំពុងប្រើប្រាស់</x:t>
  </x:si>
  <x:si>
    <x:t xml:space="preserve">ភស្តុតាងសកម្មភាព GitHub របស់ក្រុម</x:t>
  </x:si>
  <x:si>
    <x:t xml:space="preserve">Repository: Ny-Panha/Koupreng-invitation_project | Evidence reviewed through 08-Sep-2026 | Commit/PR គឺជាភស្តុតាងបច្ចេកទេស មិនមែនជាពិន្ទុស្វ័យប្រវត្តិ</x:t>
  </x:si>
  <x:si>
    <x:t xml:space="preserve">សមាជិក</x:t>
  </x:si>
  <x:si>
    <x:t xml:space="preserve">GitHub User</x:t>
  </x:si>
  <x:si>
    <x:t xml:space="preserve">PR / Commit</x:t>
  </x:si>
  <x:si>
    <x:t xml:space="preserve">QA / Evidence Note</x:t>
  </x:si>
  <x:si>
    <x:t xml:space="preserve">Link</x:t>
  </x:si>
  <x:si>
    <x:t xml:space="preserve">KoeurngVireakk</x:t>
  </x:si>
  <x:si>
    <x:t xml:space="preserve">PR</x:t>
  </x:si>
  <x:si>
    <x:t xml:space="preserve">#2</x:t>
  </x:si>
  <x:si>
    <x:t xml:space="preserve">Add media and template payment flows</x:t>
  </x:si>
  <x:si>
    <x:t xml:space="preserve">Merged</x:t>
  </x:si>
  <x:si>
    <x:t xml:space="preserve">Backend 72 tests; frontend build; Telegram compile</x:t>
  </x:si>
  <x:si>
    <x:t xml:space="preserve">#3</x:t>
  </x:si>
  <x:si>
    <x:t xml:space="preserve">Resolve payment conflict flows</x:t>
  </x:si>
  <x:si>
    <x:t xml:space="preserve">Backend 84 tests; user/admin builds; Telegram compile</x:t>
  </x:si>
  <x:si>
    <x:t xml:space="preserve">#4</x:t>
  </x:si>
  <x:si>
    <x:t xml:space="preserve">Harden account, payment and budget recovery</x:t>
  </x:si>
  <x:si>
    <x:t xml:space="preserve">Backend 124 tests; build/smoke validation</x:t>
  </x:si>
  <x:si>
    <x:t xml:space="preserve">#5</x:t>
  </x:si>
  <x:si>
    <x:t xml:space="preserve">Fix backend diagnostics</x:t>
  </x:si>
  <x:si>
    <x:t xml:space="preserve">Closed / Not merged</x:t>
  </x:si>
  <x:si>
    <x:t xml:space="preserve">111 backend tests; frontend build</x:t>
  </x:si>
  <x:si>
    <x:t xml:space="preserve">https://github.com/Ny-Panha/Koupreng-invitation_project/pull/5</x:t>
  </x:si>
  <x:si>
    <x:t xml:space="preserve">#6</x:t>
  </x:si>
  <x:si>
    <x:t xml:space="preserve">Post-merge full project QA audit</x:t>
  </x:si>
  <x:si>
    <x:t xml:space="preserve">Backend 124 tests; 22 routes smoke</x:t>
  </x:si>
  <x:si>
    <x:t xml:space="preserve">https://github.com/Ny-Panha/Koupreng-invitation_project/pull/6</x:t>
  </x:si>
  <x:si>
    <x:t xml:space="preserve">#7</x:t>
  </x:si>
  <x:si>
    <x:t xml:space="preserve">Security / CSV export / audit IP hardening</x:t>
  </x:si>
  <x:si>
    <x:t xml:space="preserve">Security hardening evidence</x:t>
  </x:si>
  <x:si>
    <x:t xml:space="preserve">#8</x:t>
  </x:si>
  <x:si>
    <x:t xml:space="preserve">Restore post-merge QA tooling and admin login route</x:t>
  </x:si>
  <x:si>
    <x:t xml:space="preserve">QA tooling restored</x:t>
  </x:si>
  <x:si>
    <x:t xml:space="preserve">https://github.com/Ny-Panha/Koupreng-invitation_project/pull/8</x:t>
  </x:si>
  <x:si>
    <x:t xml:space="preserve">#9</x:t>
  </x:si>
  <x:si>
    <x:t xml:space="preserve">Complete Garden Royal Khmer wedding template audit cleanup</x:t>
  </x:si>
  <x:si>
    <x:t xml:space="preserve">Backend 127 tests; user/admin build; route smoke</x:t>
  </x:si>
  <x:si>
    <x:t xml:space="preserve">#10</x:t>
  </x:si>
  <x:si>
    <x:t xml:space="preserve">Verify A-K project flows</x:t>
  </x:si>
  <x:si>
    <x:t xml:space="preserve">Backend 127 tests/package; lint/build; 22/22 route smoke</x:t>
  </x:si>
  <x:si>
    <x:t xml:space="preserve">Commit</x:t>
  </x:si>
  <x:si>
    <x:t xml:space="preserve">57892c7</x:t>
  </x:si>
  <x:si>
    <x:t xml:space="preserve">Patch backend dependency vulnerabilities</x:t>
  </x:si>
  <x:si>
    <x:t xml:space="preserve">On main / traceable</x:t>
  </x:si>
  <x:si>
    <x:t xml:space="preserve">Commit history evidence</x:t>
  </x:si>
  <x:si>
    <x:t xml:space="preserve">https://github.com/Ny-Panha/Koupreng-invitation_project/commit/57892c7</x:t>
  </x:si>
  <x:si>
    <x:t xml:space="preserve">307dc4e</x:t>
  </x:si>
  <x:si>
    <x:t xml:space="preserve">Synchronize frontend dependencies and CI gates</x:t>
  </x:si>
  <x:si>
    <x:t xml:space="preserve">https://github.com/Ny-Panha/Koupreng-invitation_project/commit/307dc4e</x:t>
  </x:si>
  <x:si>
    <x:t xml:space="preserve">7811967</x:t>
  </x:si>
  <x:si>
    <x:t xml:space="preserve">Harden frontend and backend business flows</x:t>
  </x:si>
  <x:si>
    <x:t xml:space="preserve">https://github.com/Ny-Panha/Koupreng-invitation_project/commit/7811967</x:t>
  </x:si>
  <x:si>
    <x:t xml:space="preserve">83bfaed</x:t>
  </x:si>
  <x:si>
    <x:t xml:space="preserve">Implement mobile navigation sidebar and toggle functionality</x:t>
  </x:si>
  <x:si>
    <x:t xml:space="preserve">https://github.com/Ny-Panha/Koupreng-invitation_project/commit/83bfaed</x:t>
  </x:si>
  <x:si>
    <x:t xml:space="preserve">a56d0b4</x:t>
  </x:si>
  <x:si>
    <x:t xml:space="preserve">Complete platform management workflows</x:t>
  </x:si>
  <x:si>
    <x:t xml:space="preserve">https://github.com/Ny-Panha/Koupreng-invitation_project/commit/a56d0b4</x:t>
  </x:si>
  <x:si>
    <x:t xml:space="preserve">e5914d4</x:t>
  </x:si>
  <x:si>
    <x:t xml:space="preserve">Modernize RSVP check-in and seating</x:t>
  </x:si>
  <x:si>
    <x:t xml:space="preserve">https://github.com/Ny-Panha/Koupreng-invitation_project/commit/e5914d4</x:t>
  </x:si>
  <x:si>
    <x:t xml:space="preserve">f24a68c</x:t>
  </x:si>
  <x:si>
    <x:t xml:space="preserve">Modernize wedding gift tracking</x:t>
  </x:si>
  <x:si>
    <x:t xml:space="preserve">https://github.com/Ny-Panha/Koupreng-invitation_project/commit/f24a68c</x:t>
  </x:si>
  <x:si>
    <x:t xml:space="preserve">203a29a</x:t>
  </x:si>
  <x:si>
    <x:t xml:space="preserve">Modernize budget and expense experience</x:t>
  </x:si>
  <x:si>
    <x:t xml:space="preserve">https://github.com/Ny-Panha/Koupreng-invitation_project/commit/203a29a</x:t>
  </x:si>
  <x:si>
    <x:t xml:space="preserve">4581275</x:t>
  </x:si>
  <x:si>
    <x:t xml:space="preserve">Add dashboard insights and quick actions</x:t>
  </x:si>
  <x:si>
    <x:t xml:space="preserve">https://github.com/Ny-Panha/Koupreng-invitation_project/commit/4581275</x:t>
  </x:si>
  <x:si>
    <x:t xml:space="preserve">f78f671</x:t>
  </x:si>
  <x:si>
    <x:t xml:space="preserve">Modernize invitation builder workflow with AI helper triggers</x:t>
  </x:si>
  <x:si>
    <x:t xml:space="preserve">https://github.com/Ny-Panha/Koupreng-invitation_project/commit/f78f671</x:t>
  </x:si>
  <x:si>
    <x:t xml:space="preserve">c923eff</x:t>
  </x:si>
  <x:si>
    <x:t xml:space="preserve">Add invitation writing assistant</x:t>
  </x:si>
  <x:si>
    <x:t xml:space="preserve">https://github.com/Ny-Panha/Koupreng-invitation_project/commit/c923eff</x:t>
  </x:si>
  <x:si>
    <x:t xml:space="preserve">2e57454</x:t>
  </x:si>
  <x:si>
    <x:t xml:space="preserve">Add organization team workspace management</x:t>
  </x:si>
  <x:si>
    <x:t xml:space="preserve">https://github.com/Ny-Panha/Koupreng-invitation_project/commit/2e57454</x:t>
  </x:si>
  <x:si>
    <x:t xml:space="preserve">aa661b0</x:t>
  </x:si>
  <x:si>
    <x:t xml:space="preserve">Make backend authoritative for domain state; cleanup local fallbacks</x:t>
  </x:si>
  <x:si>
    <x:t xml:space="preserve">https://github.com/Ny-Panha/Koupreng-invitation_project/commit/aa661b0</x:t>
  </x:si>
  <x:si>
    <x:t xml:space="preserve">b5968e5</x:t>
  </x:si>
  <x:si>
    <x:t xml:space="preserve">Modularize guest management into clean domain architecture</x:t>
  </x:si>
  <x:si>
    <x:t xml:space="preserve">https://github.com/Ny-Panha/Koupreng-invitation_project/commit/b5968e5</x:t>
  </x:si>
  <x:si>
    <x:t xml:space="preserve">2e7fefe</x:t>
  </x:si>
  <x:si>
    <x:t xml:space="preserve">Standardize shared UI system primitives</x:t>
  </x:si>
  <x:si>
    <x:t xml:space="preserve">https://github.com/Ny-Panha/Koupreng-invitation_project/commit/2e7fefe</x:t>
  </x:si>
  <x:si>
    <x:t xml:space="preserve">3b71c39</x:t>
  </x:si>
  <x:si>
    <x:t xml:space="preserve">Canonicalize host routes under /dashboard/* with legacy redirects</x:t>
  </x:si>
  <x:si>
    <x:t xml:space="preserve">https://github.com/Ny-Panha/Koupreng-invitation_project/commit/3b71c39</x:t>
  </x:si>
  <x:si>
    <x:t xml:space="preserve">97e0a60</x:t>
  </x:si>
  <x:si>
    <x:t xml:space="preserve">Update current gap status and frontend/backend capability matrix</x:t>
  </x:si>
  <x:si>
    <x:t xml:space="preserve">https://github.com/Ny-Panha/Koupreng-invitation_project/commit/97e0a60</x:t>
  </x:si>
  <x:si>
    <x:t xml:space="preserve">b026f7a</x:t>
  </x:si>
  <x:si>
    <x:t xml:space="preserve">Add comprehensive backend/frontend audit reports and test configs</x:t>
  </x:si>
  <x:si>
    <x:t xml:space="preserve">https://github.com/Ny-Panha/Koupreng-invitation_project/commit/b026f7a</x:t>
  </x:si>
  <x:si>
    <x:t xml:space="preserve">3b045b3</x:t>
  </x:si>
  <x:si>
    <x:t xml:space="preserve">Add organization frontend API client</x:t>
  </x:si>
  <x:si>
    <x:t xml:space="preserve">https://github.com/Ny-Panha/Koupreng-invitation_project/commit/3b045b3</x:t>
  </x:si>
  <x:si>
    <x:t xml:space="preserve">159e649</x:t>
  </x:si>
  <x:si>
    <x:t xml:space="preserve">Merge repository cleanup and QA into main</x:t>
  </x:si>
  <x:si>
    <x:t xml:space="preserve">https://github.com/Ny-Panha/Koupreng-invitation_project/commit/159e649</x:t>
  </x:si>
  <x:si>
    <x:t xml:space="preserve">65c5e82</x:t>
  </x:si>
  <x:si>
    <x:t xml:space="preserve">Checkpoint local work before merge</x:t>
  </x:si>
  <x:si>
    <x:t xml:space="preserve">https://github.com/Ny-Panha/Koupreng-invitation_project/commit/65c5e82</x:t>
  </x:si>
  <x:si>
    <x:t xml:space="preserve">405e8a2</x:t>
  </x:si>
  <x:si>
    <x:t xml:space="preserve">Separate backend static analysis gate</x:t>
  </x:si>
  <x:si>
    <x:t xml:space="preserve">https://github.com/Ny-Panha/Koupreng-invitation_project/commit/405e8a2</x:t>
  </x:si>
  <x:si>
    <x:t xml:space="preserve">73c2266</x:t>
  </x:si>
  <x:si>
    <x:t xml:space="preserve">Restore complete deletion evidence</x:t>
  </x:si>
  <x:si>
    <x:t xml:space="preserve">https://github.com/Ny-Panha/Koupreng-invitation_project/commit/73c2266</x:t>
  </x:si>
  <x:si>
    <x:t xml:space="preserve">71bb374</x:t>
  </x:si>
  <x:si>
    <x:t xml:space="preserve">Align asset report deliverable name</x:t>
  </x:si>
  <x:si>
    <x:t xml:space="preserve">https://github.com/Ny-Panha/Koupreng-invitation_project/commit/71bb374</x:t>
  </x:si>
  <x:si>
    <x:t xml:space="preserve">89e060a</x:t>
  </x:si>
  <x:si>
    <x:t xml:space="preserve">Avoid secret-shaped auth fixture</x:t>
  </x:si>
  <x:si>
    <x:t xml:space="preserve">https://github.com/Ny-Panha/Koupreng-invitation_project/commit/89e060a</x:t>
  </x:si>
  <x:si>
    <x:t xml:space="preserve">438d345</x:t>
  </x:si>
  <x:si>
    <x:t xml:space="preserve">Record final browser evidence</x:t>
  </x:si>
  <x:si>
    <x:t xml:space="preserve">https://github.com/Ny-Panha/Koupreng-invitation_project/commit/438d345</x:t>
  </x:si>
  <x:si>
    <x:t xml:space="preserve">4a9800e</x:t>
  </x:si>
  <x:si>
    <x:t xml:space="preserve">Enforce route smoke with Playwright</x:t>
  </x:si>
  <x:si>
    <x:t xml:space="preserve">https://github.com/Ny-Panha/Koupreng-invitation_project/commit/4a9800e</x:t>
  </x:si>
  <x:si>
    <x:t xml:space="preserve">5b7125b</x:t>
  </x:si>
  <x:si>
    <x:t xml:space="preserve">Record cleanup evidence and release blockers</x:t>
  </x:si>
  <x:si>
    <x:t xml:space="preserve">https://github.com/Ny-Panha/Koupreng-invitation_project/commit/5b7125b</x:t>
  </x:si>
  <x:si>
    <x:t xml:space="preserve">c49828e</x:t>
  </x:si>
  <x:si>
    <x:t xml:space="preserve">Refresh compatible frontend locks</x:t>
  </x:si>
  <x:si>
    <x:t xml:space="preserve">https://github.com/Ny-Panha/Koupreng-invitation_project/commit/c49828e</x:t>
  </x:si>
  <x:si>
    <x:t xml:space="preserve">8ac78ee</x:t>
  </x:si>
  <x:si>
    <x:t xml:space="preserve">Enforce repository-wide quality gates</x:t>
  </x:si>
  <x:si>
    <x:t xml:space="preserve">https://github.com/Ny-Panha/Koupreng-invitation_project/commit/8ac78ee</x:t>
  </x:si>
  <x:si>
    <x:t xml:space="preserve">df60f8b</x:t>
  </x:si>
  <x:si>
    <x:t xml:space="preserve">Enforce backend quality and migration gates</x:t>
  </x:si>
  <x:si>
    <x:t xml:space="preserve">https://github.com/Ny-Panha/Koupreng-invitation_project/commit/df60f8b</x:t>
  </x:si>
  <x:si>
    <x:t xml:space="preserve">b604194</x:t>
  </x:si>
  <x:si>
    <x:t xml:space="preserve">Relocate and reconcile frontend source notes</x:t>
  </x:si>
  <x:si>
    <x:t xml:space="preserve">https://github.com/Ny-Panha/Koupreng-invitation_project/commit/b604194</x:t>
  </x:si>
  <x:si>
    <x:t xml:space="preserve">6f0176b</x:t>
  </x:si>
  <x:si>
    <x:t xml:space="preserve">Organize reusable automation scripts</x:t>
  </x:si>
  <x:si>
    <x:t xml:space="preserve">https://github.com/Ny-Panha/Koupreng-invitation_project/commit/6f0176b</x:t>
  </x:si>
  <x:si>
    <x:t xml:space="preserve">fd9a35e</x:t>
  </x:si>
  <x:si>
    <x:t xml:space="preserve">Consolidate routes and remove legacy code</x:t>
  </x:si>
  <x:si>
    <x:t xml:space="preserve">https://github.com/Ny-Panha/Koupreng-invitation_project/commit/fd9a35e</x:t>
  </x:si>
  <x:si>
    <x:t xml:space="preserve">400c92d</x:t>
  </x:si>
  <x:si>
    <x:t xml:space="preserve">Remove generated files and unused media</x:t>
  </x:si>
  <x:si>
    <x:t xml:space="preserve">https://github.com/Ny-Panha/Koupreng-invitation_project/commit/400c92d</x:t>
  </x:si>
  <x:si>
    <x:t xml:space="preserve">7e89241</x:t>
  </x:si>
  <x:si>
    <x:t xml:space="preserve">Remove exposed credentials and redact logs</x:t>
  </x:si>
  <x:si>
    <x:t xml:space="preserve">https://github.com/Ny-Panha/Koupreng-invitation_project/commit/7e89241</x:t>
  </x:si>
  <x:si>
    <x:t xml:space="preserve">2ba8578</x:t>
  </x:si>
  <x:si>
    <x:t xml:space="preserve">Add cover Khmer golden wedding template</x:t>
  </x:si>
  <x:si>
    <x:t xml:space="preserve">https://github.com/Ny-Panha/Koupreng-invitation_project/commit/2ba8578</x:t>
  </x:si>
  <x:si>
    <x:t xml:space="preserve">4c8d02b</x:t>
  </x:si>
  <x:si>
    <x:t xml:space="preserve">Add Khmer golden invitation template</x:t>
  </x:si>
  <x:si>
    <x:t xml:space="preserve">https://github.com/Ny-Panha/Koupreng-invitation_project/commit/4c8d02b</x:t>
  </x:si>
  <x:si>
    <x:t xml:space="preserve">c6aa34e</x:t>
  </x:si>
  <x:si>
    <x:t xml:space="preserve">Harden Canva Khmer wedding renderer</x:t>
  </x:si>
  <x:si>
    <x:t xml:space="preserve">https://github.com/Ny-Panha/Koupreng-invitation_project/commit/c6aa34e</x:t>
  </x:si>
  <x:si>
    <x:t xml:space="preserve">7f7c05c</x:t>
  </x:si>
  <x:si>
    <x:t xml:space="preserve">Add premium Canva Khmer wedding renderer</x:t>
  </x:si>
  <x:si>
    <x:t xml:space="preserve">https://github.com/Ny-Panha/Koupreng-invitation_project/commit/7f7c05c</x:t>
  </x:si>
  <x:si>
    <x:t xml:space="preserve">e28c3b6</x:t>
  </x:si>
  <x:si>
    <x:t xml:space="preserve">Build premium Canva Khmer invitation</x:t>
  </x:si>
  <x:si>
    <x:t xml:space="preserve">https://github.com/Ny-Panha/Koupreng-invitation_project/commit/e28c3b6</x:t>
  </x:si>
  <x:si>
    <x:t xml:space="preserve">1b1e62d</x:t>
  </x:si>
  <x:si>
    <x:t xml:space="preserve">Refine Canva Khmer wedding template</x:t>
  </x:si>
  <x:si>
    <x:t xml:space="preserve">https://github.com/Ny-Panha/Koupreng-invitation_project/commit/1b1e62d</x:t>
  </x:si>
  <x:si>
    <x:t xml:space="preserve">d2f6b01</x:t>
  </x:si>
  <x:si>
    <x:t xml:space="preserve">Add dynamic Canva Khmer wedding template</x:t>
  </x:si>
  <x:si>
    <x:t xml:space="preserve">https://github.com/Ny-Panha/Koupreng-invitation_project/commit/d2f6b01</x:t>
  </x:si>
  <x:si>
    <x:t xml:space="preserve">970e190</x:t>
  </x:si>
  <x:si>
    <x:t xml:space="preserve">Enhance location section with loading state and fallback UI</x:t>
  </x:si>
  <x:si>
    <x:t xml:space="preserve">https://github.com/Ny-Panha/Koupreng-invitation_project/commit/970e190</x:t>
  </x:si>
  <x:si>
    <x:t xml:space="preserve">3619740</x:t>
  </x:si>
  <x:si>
    <x:t xml:space="preserve">Add Garden Royal Sambot CSS styles for template experience</x:t>
  </x:si>
  <x:si>
    <x:t xml:space="preserve">https://github.com/Ny-Panha/Koupreng-invitation_project/commit/3619740</x:t>
  </x:si>
  <x:si>
    <x:t xml:space="preserve">Ny-Panha</x:t>
  </x:si>
  <x:si>
    <x:t xml:space="preserve">59eec270</x:t>
  </x:si>
  <x:si>
    <x:t xml:space="preserve">Fix template live preview sync and curtain gate overlay</x:t>
  </x:si>
  <x:si>
    <x:t xml:space="preserve">https://github.com/Ny-Panha/Koupreng-invitation_project/commit/59eec270</x:t>
  </x:si>
  <x:si>
    <x:t xml:space="preserve">c7512d6f</x:t>
  </x:si>
  <x:si>
    <x:t xml:space="preserve">Add team Git automation scripts to prevent code collisions</x:t>
  </x:si>
  <x:si>
    <x:t xml:space="preserve">https://github.com/Ny-Panha/Koupreng-invitation_project/commit/c7512d6f</x:t>
  </x:si>
  <x:si>
    <x:t xml:space="preserve">d484ad24</x:t>
  </x:si>
  <x:si>
    <x:t xml:space="preserve">Enhance seating floor plan with Canva-style canvas, auto-arrange, anti-overlap and 100-table support</x:t>
  </x:si>
  <x:si>
    <x:t xml:space="preserve">https://github.com/Ny-Panha/Koupreng-invitation_project/commit/d484ad24</x:t>
  </x:si>
  <x:si>
    <x:t xml:space="preserve">36332bd5</x:t>
  </x:si>
  <x:si>
    <x:t xml:space="preserve">Modularize features; update wedding builder/templates/backend test suites</x:t>
  </x:si>
  <x:si>
    <x:t xml:space="preserve">https://github.com/Ny-Panha/Koupreng-invitation_project/commit/36332bd5</x:t>
  </x:si>
  <x:si>
    <x:t xml:space="preserve">d61d7b1a</x:t>
  </x:si>
  <x:si>
    <x:t xml:space="preserve">Fix dashboard 404 draft errors; polish template catalog and dashboard UI</x:t>
  </x:si>
  <x:si>
    <x:t xml:space="preserve">https://github.com/Ny-Panha/Koupreng-invitation_project/commit/d61d7b1a</x:t>
  </x:si>
  <x:si>
    <x:t xml:space="preserve">bafbcace</x:t>
  </x:si>
  <x:si>
    <x:t xml:space="preserve">Update project features and improvements</x:t>
  </x:si>
  <x:si>
    <x:t xml:space="preserve">https://github.com/Ny-Panha/Koupreng-invitation_project/commit/bafbcace</x:t>
  </x:si>
  <x:si>
    <x:t xml:space="preserve">Kimlong1610</x:t>
  </x:si>
  <x:si>
    <x:t xml:space="preserve">4e451cf6</x:t>
  </x:si>
  <x:si>
    <x:t xml:space="preserve">Merge branch main of project repository</x:t>
  </x:si>
  <x:si>
    <x:t xml:space="preserve">https://github.com/Ny-Panha/Koupreng-invitation_project/commit/4e451cf6</x:t>
  </x:si>
  <x:si>
    <x:t xml:space="preserve">468024ee</x:t>
  </x:si>
  <x:si>
    <x:t xml:space="preserve">Enable Swagger UI and update API documentation settings</x:t>
  </x:si>
  <x:si>
    <x:t xml:space="preserve">https://github.com/Ny-Panha/Koupreng-invitation_project/commit/468024ee</x:t>
  </x:si>
  <x:si>
    <x:t xml:space="preserve">4d6f27b6</x:t>
  </x:si>
  <x:si>
    <x:t xml:space="preserve">Add Scalar API portal and development fixtures</x:t>
  </x:si>
  <x:si>
    <x:t xml:space="preserve">https://github.com/Ny-Panha/Koupreng-invitation_project/commit/4d6f27b6</x:t>
  </x:si>
  <x:si>
    <x:t xml:space="preserve">3dc60b38</x:t>
  </x:si>
  <x:si>
    <x:t xml:space="preserve">Resolve backend static analysis findings</x:t>
  </x:si>
  <x:si>
    <x:t xml:space="preserve">https://github.com/Ny-Panha/Koupreng-invitation_project/commit/3dc60b38</x:t>
  </x:si>
  <x:si>
    <x:t xml:space="preserve">17575f41</x:t>
  </x:si>
  <x:si>
    <x:t xml:space="preserve">Add secure OpenAPI documentation</x:t>
  </x:si>
  <x:si>
    <x:t xml:space="preserve">https://github.com/Ny-Panha/Koupreng-invitation_project/commit/17575f41</x:t>
  </x:si>
  <x:si>
    <x:t xml:space="preserve">481ab541</x:t>
  </x:si>
  <x:si>
    <x:t xml:space="preserve">Improve storage handling for legacy session auth and initial state reading</x:t>
  </x:si>
  <x:si>
    <x:t xml:space="preserve">https://github.com/Ny-Panha/Koupreng-invitation_project/commit/481ab541</x:t>
  </x:si>
  <x:si>
    <x:t xml:space="preserve">សម្គាល់៖ មិនទាន់រកឃើញ GitHub identity ដែលអាចផ្ទៀងផ្ទាត់ដោយទំនុកចិត្តសម្រាប់ គក់ ស្រីផ្កាយ, រ៉ាន់ ណារ៉ាត់ និង គុយ ដាលី។ កុំសន្និដ្ឋានថាពួកគេមិនបានចូលរួម; ត្រូវប្រើ Assignment, Meeting, Documentation, Demo ឬ Evidence ផ្សេងៗសម្រាប់ Audit។</x:t>
  </x:si>
  <x:si>
    <x:t xml:space="preserve">ស្ថានភាព QA/QC ភស្តុតាង និង Release Blockers</x:t>
  </x:si>
  <x:si>
    <x:t xml:space="preserve">QA evidence date: 21-Jul-2026 | Repository history reviewed through 08-Sep-2026 | ត្រូវ rerun full verification មុន Final Submission 01-Dec-2026</x:t>
  </x:si>
  <x:si>
    <x:t xml:space="preserve">ផ្នែក QA/QC</x:t>
  </x:si>
  <x:si>
    <x:t xml:space="preserve">ការត្រួតពិនិត្យ / Command</x:t>
  </x:si>
  <x:si>
    <x:t xml:space="preserve">លទ្ធផល Evidence 21-Jul-2026</x:t>
  </x:si>
  <x:si>
    <x:t xml:space="preserve">ចំណុចត្រូវធ្វើបន្ទាប់</x:t>
  </x:si>
  <x:si>
    <x:t xml:space="preserve">Target</x:t>
  </x:si>
  <x:si>
    <x:t xml:space="preserve">Reference</x:t>
  </x:si>
  <x:si>
    <x:t xml:space="preserve">Backend Full Gate</x:t>
  </x:si>
  <x:si>
    <x:t xml:space="preserve">mvnw clean verify</x:t>
  </x:si>
  <x:si>
    <x:t xml:space="preserve">PASS: 128 tests, 0 failures/errors, 1 opt-in skip; JaCoCo; SpotBugs High 0; PMD 0</x:t>
  </x:si>
  <x:si>
    <x:t xml:space="preserve">PASS</x:t>
  </x:si>
  <x:si>
    <x:t xml:space="preserve">Rerun against final code</x:t>
  </x:si>
  <x:si>
    <x:t xml:space="preserve">docs/qa/verification-results.md</x:t>
  </x:si>
  <x:si>
    <x:t xml:space="preserve">Backend Security Focus</x:t>
  </x:si>
  <x:si>
    <x:t xml:space="preserve">Selected security/reset/logging tests</x:t>
  </x:si>
  <x:si>
    <x:t xml:space="preserve">PASS: 6 tests</x:t>
  </x:si>
  <x:si>
    <x:t xml:space="preserve">Rerun after security remediation</x:t>
  </x:si>
  <x:si>
    <x:t xml:space="preserve">Fresh MySQL + Flyway</x:t>
  </x:si>
  <x:si>
    <x:t xml:space="preserve">FreshDatabaseMigrationTests</x:t>
  </x:si>
  <x:si>
    <x:t xml:space="preserve">PASS: 15 migrations; ddl-auto=validate</x:t>
  </x:si>
  <x:si>
    <x:t xml:space="preserve">Normalize migration naming only by approved forward strategy</x:t>
  </x:si>
  <x:si>
    <x:t xml:space="preserve">Before final</x:t>
  </x:si>
  <x:si>
    <x:t xml:space="preserve">User Frontend</x:t>
  </x:si>
  <x:si>
    <x:t xml:space="preserve">lint + Vitest + Knip + depcheck + Vite build</x:t>
  </x:si>
  <x:si>
    <x:t xml:space="preserve">PASS; 724 modules; JS bundle above Vite 500k warning</x:t>
  </x:si>
  <x:si>
    <x:t xml:space="preserve">PASS / Warning</x:t>
  </x:si>
  <x:si>
    <x:t xml:space="preserve">Review code-splitting/performance budget</x:t>
  </x:si>
  <x:si>
    <x:t xml:space="preserve">17-Nov-2026</x:t>
  </x:si>
  <x:si>
    <x:t xml:space="preserve">Admin Frontend</x:t>
  </x:si>
  <x:si>
    <x:t xml:space="preserve">Rerun final build</x:t>
  </x:si>
  <x:si>
    <x:t xml:space="preserve">Browser E2E</x:t>
  </x:si>
  <x:si>
    <x:t xml:space="preserve">Playwright desktop Chromium + Pixel 7</x:t>
  </x:si>
  <x:si>
    <x:t xml:space="preserve">PASS: 52 tests; 8 critical journeys + 44 route-smoke</x:t>
  </x:si>
  <x:si>
    <x:t xml:space="preserve">Run full staging E2E against real services</x:t>
  </x:si>
  <x:si>
    <x:t xml:space="preserve">10-Nov-2026</x:t>
  </x:si>
  <x:si>
    <x:t xml:space="preserve">Route Smoke</x:t>
  </x:si>
  <x:si>
    <x:t xml:space="preserve">22 user/admin route shells desktop + mobile</x:t>
  </x:si>
  <x:si>
    <x:t xml:space="preserve">PASS: 44 controlled cases</x:t>
  </x:si>
  <x:si>
    <x:t xml:space="preserve">Repeat after final UI merge</x:t>
  </x:si>
  <x:si>
    <x:t xml:space="preserve">Telegram Service</x:t>
  </x:si>
  <x:si>
    <x:t xml:space="preserve">pytest + Ruff + Bandit + compileall</x:t>
  </x:si>
  <x:si>
    <x:t xml:space="preserve">PASS: 24 tests and static/compile gates</x:t>
  </x:si>
  <x:si>
    <x:t xml:space="preserve">Add live Telegram integration validation</x:t>
  </x:si>
  <x:si>
    <x:t xml:space="preserve">13-Oct-2026</x:t>
  </x:si>
  <x:si>
    <x:t xml:space="preserve">Python Vulnerability Audit</x:t>
  </x:si>
  <x:si>
    <x:t xml:space="preserve">pip-audit</x:t>
  </x:si>
  <x:si>
    <x:t xml:space="preserve">PASS: no known vulnerabilities</x:t>
  </x:si>
  <x:si>
    <x:t xml:space="preserve">Rerun before release</x:t>
  </x:si>
  <x:si>
    <x:t xml:space="preserve">Node Vulnerability Audit</x:t>
  </x:si>
  <x:si>
    <x:t xml:space="preserve">npm audit --audit-level=high</x:t>
  </x:si>
  <x:si>
    <x:t xml:space="preserve">PASS: 0 vulnerabilities</x:t>
  </x:si>
  <x:si>
    <x:t xml:space="preserve">Rerun both frontend apps</x:t>
  </x:si>
  <x:si>
    <x:t xml:space="preserve">Secret Scan Current Tree</x:t>
  </x:si>
  <x:si>
    <x:t xml:space="preserve">Gitleaks clean exported tree</x:t>
  </x:si>
  <x:si>
    <x:t xml:space="preserve">PASS: 0 findings</x:t>
  </x:si>
  <x:si>
    <x:t xml:space="preserve">Keep secret scan in final CI</x:t>
  </x:si>
  <x:si>
    <x:t xml:space="preserve">Secret Scan Git History</x:t>
  </x:si>
  <x:si>
    <x:t xml:space="preserve">Gitleaks full-history diagnostic</x:t>
  </x:si>
  <x:si>
    <x:t xml:space="preserve">FAIL/INCIDENT: 29 findings across 12 path/rule groups</x:t>
  </x:si>
  <x:si>
    <x:t xml:space="preserve">BLOCKER</x:t>
  </x:si>
  <x:si>
    <x:t xml:space="preserve">Rotate credentials + coordinated history rewrite</x:t>
  </x:si>
  <x:si>
    <x:t xml:space="preserve">30-Sep-2026</x:t>
  </x:si>
  <x:si>
    <x:t xml:space="preserve">Java Advisory Feed</x:t>
  </x:si>
  <x:si>
    <x:t xml:space="preserve">Maven dependency security profile</x:t>
  </x:si>
  <x:si>
    <x:t xml:space="preserve">INCOMPLETE: no report before 10-minute timeout</x:t>
  </x:si>
  <x:si>
    <x:t xml:space="preserve">Obtain successful CI/provider vulnerability report</x:t>
  </x:si>
  <x:si>
    <x:t xml:space="preserve">06-Oct-2026</x:t>
  </x:si>
  <x:si>
    <x:t xml:space="preserve">Railway / Deployment Evidence</x:t>
  </x:si>
  <x:si>
    <x:t xml:space="preserve">Provider binding/topology/logs</x:t>
  </x:si>
  <x:si>
    <x:t xml:space="preserve">Not verified / unavailable in audit evidence</x:t>
  </x:si>
  <x:si>
    <x:t xml:space="preserve">Provide service topology, variables, deployment logs and verified URL</x:t>
  </x:si>
  <x:si>
    <x:t xml:space="preserve">03-Nov-2026</x:t>
  </x:si>
  <x:si>
    <x:t xml:space="preserve">Live External Integrations</x:t>
  </x:si>
  <x:si>
    <x:t xml:space="preserve">Google, Telegram, ABA, SMTP, Cloudinary, DNS/TLS</x:t>
  </x:si>
  <x:si>
    <x:t xml:space="preserve">Manual/live validation not yet evidenced</x:t>
  </x:si>
  <x:si>
    <x:t xml:space="preserve">PENDING</x:t>
  </x:si>
  <x:si>
    <x:t xml:space="preserve">Complete live/staging validations</x:t>
  </x:si>
  <x:si>
    <x:t xml:space="preserve">27-Oct-2026</x:t>
  </x:si>
  <x:si>
    <x:t xml:space="preserve">Accessibility / Performance</x:t>
  </x:si>
  <x:si>
    <x:t xml:space="preserve">Keyboard, screen reader, focus, contrast, reduced motion, performance</x:t>
  </x:si>
  <x:si>
    <x:t xml:space="preserve">Not fully validated</x:t>
  </x:si>
  <x:si>
    <x:t xml:space="preserve">Complete a11y and performance review</x:t>
  </x:si>
  <x:si>
    <x:t xml:space="preserve">Final Full Regression</x:t>
  </x:si>
  <x:si>
    <x:t xml:space="preserve">All modules + final deployment</x:t>
  </x:si>
  <x:si>
    <x:t xml:space="preserve">Not run yet against final code</x:t>
  </x:si>
  <x:si>
    <x:t xml:space="preserve">PLANNED</x:t>
  </x:si>
  <x:si>
    <x:t xml:space="preserve">Run final regression, archive evidence and freeze release</x:t>
  </x:si>
  <x:si>
    <x:t xml:space="preserve">Final audit plan</x:t>
  </x:si>
  <x:si>
    <x:t xml:space="preserve">Release Blockers ដែលត្រូវបិទមុន 01-Dec-2026</x:t>
  </x:si>
  <x:si>
    <x:t xml:space="preserve">Blocker</x:t>
  </x:si>
  <x:si>
    <x:t xml:space="preserve">ស្ថានភាពបច្ចុប្បន្ន</x:t>
  </x:si>
  <x:si>
    <x:t xml:space="preserve">សកម្មភាពត្រូវធ្វើ</x:t>
  </x:si>
  <x:si>
    <x:t xml:space="preserve">Owner</x:t>
  </x:si>
  <x:si>
    <x:t xml:space="preserve">Credential rotation</x:t>
  </x:si>
  <x:si>
    <x:t xml:space="preserve">Old/exposed Telegram credential requires rotation</x:t>
  </x:si>
  <x:si>
    <x:t xml:space="preserve">Rotate via BotFather, update deployment secrets, verify old token dead</x:t>
  </x:si>
  <x:si>
    <x:t xml:space="preserve">22-Sep-2026</x:t>
  </x:si>
  <x:si>
    <x:t xml:space="preserve">Git history remediation</x:t>
  </x:si>
  <x:si>
    <x:t xml:space="preserve">29 Gitleaks findings / 12 groups</x:t>
  </x:si>
  <x:si>
    <x:t xml:space="preserve">Triage + git filter-repo + coordinated force-push + re-clone</x:t>
  </x:si>
  <x:si>
    <x:t xml:space="preserve">Java dependency advisory</x:t>
  </x:si>
  <x:si>
    <x:t xml:space="preserve">Local advisory run incomplete</x:t>
  </x:si>
  <x:si>
    <x:t xml:space="preserve">Get successful CI/provider dependency vulnerability report</x:t>
  </x:si>
  <x:si>
    <x:t xml:space="preserve">Deployment evidence</x:t>
  </x:si>
  <x:si>
    <x:t xml:space="preserve">Railway/service topology not verified</x:t>
  </x:si>
  <x:si>
    <x:t xml:space="preserve">Provide status, services, vars (redacted), logs, domains, DB mapping</x:t>
  </x:si>
  <x:si>
    <x:t xml:space="preserve">Asset rights</x:t>
  </x:si>
  <x:si>
    <x:t xml:space="preserve">Retained music/gallery rights not documented</x:t>
  </x:si>
  <x:si>
    <x:t xml:space="preserve">Record license/source or replace assets before production</x:t>
  </x:si>
  <x:si>
    <x:t xml:space="preserve">ផែនការចាត់តាំងការងារប្រចាំសប្ដាហ៍</x:t>
  </x:si>
  <x:si>
    <x:t xml:space="preserve">ប្រព័ន្ធគ្រប់គ្រងលិខិតអញ្ចើញឌីជីថល (E-Invitation)</x:t>
  </x:si>
  <x:si>
    <x:t xml:space="preserve">រយៈពេលការងារ៖ 10–13 September 2026  |  Checkpoint៖ Saturday 12-Sep-2026 18:00  |  Final Deadline៖ Sunday 13-Sep-2026 23:59</x:t>
  </x:si>
  <x:si>
    <x:t xml:space="preserve">Assignment សំខាន់</x:t>
  </x:si>
  <x:si>
    <x:t xml:space="preserve">Deliverables / Evidence</x:t>
  </x:si>
  <x:si>
    <x:t xml:space="preserve">Acceptance Criteria</x:t>
  </x:si>
  <x:si>
    <x:t xml:space="preserve">Priority</x:t>
  </x:si>
  <x:si>
    <x:t xml:space="preserve">Status</x:t>
  </x:si>
  <x:si>
    <x:t xml:space="preserve">ឡាំ គីមឡុង
Lam Kimlong</x:t>
  </x:si>
  <x:si>
    <x:t xml:space="preserve">PR, mvn test output, OWASP report, Swagger/Scalar verification evidence</x:t>
  </x:si>
  <x:si>
    <x:t xml:space="preserve">Backend tests PASS; dependency report generated; safe High/Critical findings fixed or documented; API docs remain correctly protected/configured</x:t>
  </x:si>
  <x:si>
    <x:t xml:space="preserve">feat/week1-backend-security-api</x:t>
  </x:si>
  <x:si>
    <x:t xml:space="preserve">គុយ ដាលី
Kuy Daly</x:t>
  </x:si>
  <x:si>
    <x:t xml:space="preserve">Payment/Telegram backend integration readiness + regression tests</x:t>
  </x:si>
  <x:si>
    <x:t xml:space="preserve">PR, Postman/mock evidence, test output</x:t>
  </x:si>
  <x:si>
    <x:t xml:space="preserve">Order/amount validation, payment-state transitions and duplicate-confirmation/idempotency tested; Telegram/manual confirmation path documented; backend tests PASS</x:t>
  </x:si>
  <x:si>
    <x:t xml:space="preserve">feat/week1-payment-integration-tests</x:t>
  </x:si>
  <x:si>
    <x:t xml:space="preserve">នី បញ្ញា
Ny Panha</x:t>
  </x:si>
  <x:si>
    <x:t xml:space="preserve">User + Admin frontend integration regression + P0/P1 fixes</x:t>
  </x:si>
  <x:si>
    <x:t xml:space="preserve">PR, screenshots, lint/build/test evidence</x:t>
  </x:si>
  <x:si>
    <x:t xml:space="preserve">Auth guards, dashboard, template create/edit/preview and admin user/template management tested; no reproducible P0/P1 route/API mismatch remains; builds PASS</x:t>
  </x:si>
  <x:si>
    <x:t xml:space="preserve">fix/week1-user-admin-regression</x:t>
  </x:si>
  <x:si>
    <x:t xml:space="preserve">គក់ ស្រីផ្កាយ
Kouk SreyPkay</x:t>
  </x:si>
  <x:si>
    <x:t xml:space="preserve">PR, 360/390/412px screenshots, QA checklist</x:t>
  </x:si>
  <x:si>
    <x:t xml:space="preserve">Dashboard, Template Catalog and Builder usable on target widths; no critical horizontal overflow; forms/loading/error/empty states and keyboard/focus reviewed; build PASS</x:t>
  </x:si>
  <x:si>
    <x:t xml:space="preserve">fix/week1-user-responsive-a11y</x:t>
  </x:si>
  <x:si>
    <x:t xml:space="preserve">រ៉ាន់ ណារ៉ាត់
Ran Narath</x:t>
  </x:si>
  <x:si>
    <x:t xml:space="preserve">PR or QA report, mobile/desktop screenshots, defect checklist</x:t>
  </x:si>
  <x:si>
    <x:t xml:space="preserve">CanvaKhmerWeddingTemplate reviewed for typography/spacing/opening/RSVP/gallery/music/location/upload fallbacks; P0/P1 fixed or clearly evidenced; public flow works without broken assets</x:t>
  </x:si>
  <x:si>
    <x:t xml:space="preserve">test/week1-public-rsvp-visual-qa</x:t>
  </x:si>
  <x:si>
    <x:t xml:space="preserve">របៀប Submit និង Definition of Done</x:t>
  </x:si>
  <x:si>
    <x:t xml:space="preserve">1</x:t>
  </x:si>
  <x:si>
    <x:t xml:space="preserve">ប្រើ Branch ផ្ទាល់ខ្លួនតាមឈ្មោះដែលបានកំណត់ ហើយបង្កើត Pull Request; មិន Push ទៅ main ដោយផ្ទាល់។</x:t>
  </x:si>
  <x:si>
    <x:t xml:space="preserve">2</x:t>
  </x:si>
  <x:si>
    <x:t xml:space="preserve">រាល់ Assignment ត្រូវមាន Evidence: PR/Commit link + Test output + Screenshot/Checklist ឬ Report តាមប្រភេទការងារ។</x:t>
  </x:si>
  <x:si>
    <x:t xml:space="preserve">3</x:t>
  </x:si>
  <x:si>
    <x:t xml:space="preserve">Checkpoint ថ្ងៃសៅរ៍ 12-Sep-2026 ម៉ោង 18:00 — ត្រូវបង្ហាញ Progress, បញ្ហា/Blocker និង Evidence ដំបូង។</x:t>
  </x:si>
  <x:si>
    <x:t xml:space="preserve">4</x:t>
  </x:si>
  <x:si>
    <x:t xml:space="preserve">Final Deadline ថ្ងៃអាទិត្យ 13-Sep-2026 ម៉ោង 23:59 — PR និង Evidence ត្រូវ Ready for Review; បញ្ហាដែលមិនអាចដោះស្រាយត្រូវមាន Root Cause + Next Action។</x:t>
  </x:si>
  <x:si>
    <x:t xml:space="preserve">5</x:t>
  </x:si>
  <x:si>
    <x:t xml:space="preserve">ការងារត្រូវបានចាត់ទុកថា Complete លុះត្រាតែ Acceptance Criteria បានបំពេញ និង Team Leader Review Evidence រួច។</x:t>
  </x:si>
</x:sst>
</file>

<file path=xl/styles.xml><?xml version="1.0" encoding="utf-8"?>
<x:styleSheet xmlns:x="http://schemas.openxmlformats.org/spreadsheetml/2006/main">
  <x:numFmts count="6">
    <x:numFmt numFmtId="164" formatCode="dd\-mmm\-yyyy"/>
    <x:numFmt numFmtId="165" formatCode="0.0"/>
    <x:numFmt numFmtId="166" formatCode="0&quot;%&quot;"/>
    <x:numFmt numFmtId="167" formatCode="ddd\,\ dd\-mmm\-yyyy"/>
    <x:numFmt numFmtId="200" formatCode="ddd, dd-mmm-yyyy"/>
    <x:numFmt numFmtId="201" formatCode="dd-mmm-yyyy"/>
  </x:numFmts>
  <x:fonts count="35">
    <x:font>
      <x:sz val="11"/>
      <x:name val="Carlito"/>
    </x:font>
    <x:font>
      <x:b/>
      <x:sz val="14"/>
      <x:color rgb="FFFFFFFF"/>
      <x:name val="Khmer OS Muol Light"/>
    </x:font>
    <x:font>
      <x:b/>
      <x:sz val="10"/>
      <x:color rgb="FF1F4E78"/>
      <x:name val="Khmer OS Muol Light"/>
    </x:font>
    <x:font>
      <x:b/>
      <x:sz val="9"/>
      <x:color rgb="FFC00000"/>
      <x:name val="Khmer OS Battambang"/>
    </x:font>
    <x:font>
      <x:b/>
      <x:sz val="10"/>
      <x:color rgb="FFFFFFFF"/>
      <x:name val="Khmer OS Muol Light"/>
    </x:font>
    <x:font>
      <x:b/>
      <x:sz val="10"/>
      <x:name val="Khmer OS Muol Light"/>
    </x:font>
    <x:font>
      <x:sz val="9"/>
      <x:name val="Khmer OS Battambang"/>
    </x:font>
    <x:font>
      <x:b/>
      <x:sz val="18"/>
      <x:color rgb="FF17365D"/>
      <x:name val="Times New Roman"/>
    </x:font>
    <x:font>
      <x:b/>
      <x:sz val="18"/>
      <x:name val="Times New Roman"/>
    </x:font>
    <x:font>
      <x:b/>
      <x:sz val="9"/>
      <x:name val="Khmer OS Battambang"/>
    </x:font>
    <x:font>
      <x:sz val="9"/>
      <x:name val="Times New Roman"/>
    </x:font>
    <x:font>
      <x:b/>
      <x:sz val="9"/>
      <x:name val="Khmer OS Muol Light"/>
    </x:font>
    <x:font>
      <x:i/>
      <x:sz val="8"/>
      <x:name val="Khmer OS Battambang"/>
    </x:font>
    <x:font>
      <x:b/>
      <x:sz val="9"/>
      <x:color rgb="FFFFFFFF"/>
      <x:name val="Khmer OS Battambang"/>
    </x:font>
    <x:font>
      <x:i/>
      <x:sz val="9"/>
      <x:name val="Khmer OS Battambang"/>
    </x:font>
    <x:font>
      <x:b/>
      <x:sz val="8"/>
      <x:name val="Khmer OS Battambang"/>
    </x:font>
    <x:font>
      <x:sz val="8"/>
      <x:name val="Khmer OS Battambang"/>
    </x:font>
    <x:font>
      <x:sz val="8"/>
      <x:name val="Times New Roman"/>
    </x:font>
    <x:font>
      <x:b/>
      <x:sz val="8"/>
      <x:color rgb="FFFFFFFF"/>
      <x:name val="Khmer OS Battambang"/>
    </x:font>
    <x:font>
      <x:b/>
      <x:sz val="10"/>
      <x:name val="Khmer OS Battambang"/>
    </x:font>
    <x:font>
      <x:b/>
      <x:sz val="11"/>
      <x:color rgb="FFFFFFFF"/>
      <x:name val="Khmer OS Muol Light"/>
    </x:font>
    <x:font>
      <x:b/>
      <x:sz val="16"/>
      <x:color rgb="FFFFFFFF"/>
      <x:name val="Khmer OS Muol Light"/>
    </x:font>
    <x:font>
      <x:b/>
      <x:sz val="12"/>
      <x:color rgb="FF24431C"/>
      <x:name val="Khmer OS Battambang"/>
    </x:font>
    <x:font>
      <x:b/>
      <x:sz val="10"/>
      <x:color rgb="FFB42318"/>
      <x:name val="Khmer OS Battambang"/>
    </x:font>
    <x:font>
      <x:b/>
      <x:sz val="10"/>
      <x:color rgb="FFFFFFFF"/>
      <x:name val="Khmer OS Battambang"/>
    </x:font>
    <x:font>
      <x:b/>
      <x:sz val="12"/>
      <x:color rgb="FFFFFFFF"/>
      <x:name val="Khmer OS Muol Light"/>
    </x:font>
    <x:font>
      <x:b/>
      <x:sz val="11"/>
      <x:name val="Times New Roman"/>
    </x:font>
    <x:font>
      <x:sz val="10"/>
      <x:name val="Khmer OS Battambang"/>
    </x:font>
    <x:font>
      <x:b/>
      <x:sz val="9"/>
      <x:color rgb="FF7F6000"/>
      <x:name val="Carlito"/>
    </x:font>
    <x:font>
      <x:b/>
      <x:sz val="15"/>
      <x:color rgb="FFFFFFFF"/>
      <x:name val="Khmer OS Muol Light"/>
    </x:font>
    <x:font>
      <x:b/>
      <x:sz val="10"/>
      <x:color rgb="FF285F20"/>
      <x:name val="Khmer OS Muol Light"/>
    </x:font>
    <x:font>
      <x:b/>
      <x:sz val="9"/>
      <x:color rgb="FF7F6000"/>
      <x:name val="Khmer OS Battambang"/>
    </x:font>
    <x:font>
      <x:sz val="8"/>
      <x:color rgb="FF222222"/>
      <x:name val="Khmer OS Battambang"/>
    </x:font>
    <x:font>
      <x:sz val="8"/>
      <x:color rgb="FF222222"/>
      <x:name val="Times New Roman"/>
    </x:font>
    <x:font>
      <x:b/>
      <x:sz val="9"/>
      <x:color rgb="FF222222"/>
      <x:name val="Times New Roman"/>
    </x:font>
  </x:fonts>
  <x:fills count="30">
    <x:fill>
      <x:patternFill patternType="none"/>
    </x:fill>
    <x:fill>
      <x:patternFill patternType="gray125"/>
    </x:fill>
    <x:fill>
      <x:patternFill patternType="solid">
        <x:fgColor rgb="FF375623"/>
      </x:patternFill>
    </x:fill>
    <x:fill>
      <x:patternFill patternType="solid">
        <x:fgColor rgb="FFFCE4D6"/>
      </x:patternFill>
    </x:fill>
    <x:fill>
      <x:patternFill patternType="solid">
        <x:fgColor rgb="FF1F6D5A"/>
      </x:patternFill>
    </x:fill>
    <x:fill>
      <x:patternFill patternType="solid">
        <x:fgColor rgb="FF1F4E78"/>
      </x:patternFill>
    </x:fill>
    <x:fill>
      <x:patternFill patternType="solid">
        <x:fgColor rgb="FFD6A83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BEA"/>
      </x:patternFill>
    </x:fill>
    <x:fill>
      <x:patternFill patternType="solid">
        <x:fgColor rgb="FFEAF2F8"/>
      </x:patternFill>
    </x:fill>
    <x:fill>
      <x:patternFill patternType="solid">
        <x:fgColor rgb="FFFFF9E6"/>
      </x:patternFill>
    </x:fill>
    <x:fill>
      <x:patternFill patternType="solid">
        <x:fgColor rgb="FFFDE9E7"/>
      </x:patternFill>
    </x:fill>
    <x:fill>
      <x:patternFill patternType="solid">
        <x:fgColor rgb="FFC00000"/>
      </x:patternFill>
    </x:fill>
    <x:fill>
      <x:patternFill patternType="solid">
        <x:fgColor rgb="FF2F5D23"/>
      </x:patternFill>
    </x:fill>
    <x:fill>
      <x:patternFill patternType="solid">
        <x:fgColor rgb="FFEAF2E5"/>
      </x:patternFill>
    </x:fill>
    <x:fill>
      <x:patternFill patternType="solid">
        <x:fgColor rgb="FFFCE8D8"/>
      </x:patternFill>
    </x:fill>
    <x:fill>
      <x:patternFill patternType="solid">
        <x:fgColor rgb="FF1F6F5B"/>
      </x:patternFill>
    </x:fill>
    <x:fill>
      <x:patternFill patternType="solid">
        <x:fgColor rgb="FFFAFCF8"/>
      </x:patternFill>
    </x:fill>
    <x:fill>
      <x:patternFill patternType="solid">
        <x:fgColor rgb="FFFFF2CC"/>
      </x:patternFill>
    </x:fill>
    <x:fill>
      <x:patternFill patternType="solid">
        <x:fgColor rgb="FF285F20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23745F"/>
      </x:patternFill>
    </x:fill>
    <x:fill>
      <x:patternFill patternType="solid">
        <x:fgColor rgb="FFFFFFFF"/>
      </x:patternFill>
    </x:fill>
  </x:fills>
  <x:borders count="60">
    <x:border/>
    <x:border>
      <x:left style="thin">
        <x:color rgb="FF808080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808080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808080"/>
      </x:bottom>
    </x:border>
    <x:border/>
    <x:border/>
    <x:border/>
    <x:border/>
    <x:border/>
    <x:border/>
    <x:border/>
    <x:border/>
    <x:border/>
    <x:border>
      <x:left style="thin">
        <x:color rgb="FF808080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808080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E5E5E5"/>
      </x:left>
      <x:top style="thin">
        <x:color rgb="FFE5E5E5"/>
      </x:top>
    </x:border>
    <x:border>
      <x:top style="thin">
        <x:color rgb="FFE5E5E5"/>
      </x:top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</x:border>
    <x:border>
      <x:right style="thin">
        <x:color rgb="FFE5E5E5"/>
      </x:right>
    </x:border>
    <x:border>
      <x:left style="thin">
        <x:color rgb="FFE5E5E5"/>
      </x:left>
      <x:bottom style="thin">
        <x:color rgb="FFE5E5E5"/>
      </x:bottom>
    </x:border>
    <x:border>
      <x:bottom style="thin">
        <x:color rgb="FFE5E5E5"/>
      </x:bottom>
    </x:border>
    <x:border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top style="thin">
        <x:color rgb="FFE5E5E5"/>
      </x:top>
    </x:border>
    <x:border>
      <x:top style="thin">
        <x:color rgb="FFE5E5E5"/>
      </x:top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</x:border>
    <x:border>
      <x:right style="thin">
        <x:color rgb="FFE5E5E5"/>
      </x:right>
    </x:border>
    <x:border>
      <x:left style="thin">
        <x:color rgb="FFE5E5E5"/>
      </x:left>
      <x:bottom style="thin">
        <x:color rgb="FFE5E5E5"/>
      </x:bottom>
    </x:border>
    <x:border>
      <x:bottom style="thin">
        <x:color rgb="FFE5E5E5"/>
      </x:bottom>
    </x:border>
    <x:border>
      <x:right style="thin">
        <x:color rgb="FFE5E5E5"/>
      </x:right>
      <x:bottom style="thin">
        <x:color rgb="FFE5E5E5"/>
      </x:bottom>
    </x:border>
  </x:borders>
  <x:cellStyleXfs count="1">
    <x:xf numFmtId="0" fontId="0" fillId="0" borderId="0"/>
  </x:cellStyleXfs>
  <x:cellXfs count="407">
    <x:xf numFmtId="0" fontId="0" fillId="0" borderId="0" xfId="0"/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164" fontId="6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6" fillId="0" borderId="4" xfId="0" applyNumberFormat="1" applyFont="1" applyFill="1" applyBorder="1" applyAlignment="1">
      <x:alignment vertical="center" wrapText="1"/>
    </x:xf>
    <x:xf numFmtId="164" fontId="6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6" fillId="0" borderId="5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9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9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horizontal="center" vertical="center" wrapText="1"/>
    </x:xf>
    <x:xf numFmtId="0" fontId="13" fillId="11" borderId="2" xfId="0" applyNumberFormat="1" applyFont="1" applyFill="1" applyBorder="1" applyAlignment="1">
      <x:alignment horizontal="center" vertical="center" wrapText="1"/>
    </x:xf>
    <x:xf numFmtId="0" fontId="13" fillId="11" borderId="3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15" fillId="0" borderId="4" xfId="0" applyNumberFormat="1" applyFont="1" applyFill="1" applyBorder="1" applyAlignment="1">
      <x:alignment horizontal="center" vertical="center" wrapText="1"/>
    </x:xf>
    <x:xf numFmtId="0" fontId="15" fillId="0" borderId="5" xfId="0" applyNumberFormat="1" applyFont="1" applyFill="1" applyBorder="1" applyAlignment="1">
      <x:alignment horizontal="center" vertical="center" wrapText="1"/>
    </x:xf>
    <x:xf numFmtId="0" fontId="15" fillId="13" borderId="5" xfId="0" applyNumberFormat="1" applyFont="1" applyFill="1" applyBorder="1" applyAlignment="1">
      <x:alignment horizontal="center" vertical="center" wrapText="1"/>
    </x:xf>
    <x:xf numFmtId="0" fontId="15" fillId="7" borderId="5" xfId="0" applyNumberFormat="1" applyFont="1" applyFill="1" applyBorder="1" applyAlignment="1">
      <x:alignment horizontal="center" vertical="center" wrapText="1"/>
    </x:xf>
    <x:xf numFmtId="0" fontId="15" fillId="8" borderId="5" xfId="0" applyNumberFormat="1" applyFont="1" applyFill="1" applyBorder="1" applyAlignment="1">
      <x:alignment horizontal="center" vertical="center" wrapText="1"/>
    </x:xf>
    <x:xf numFmtId="0" fontId="15" fillId="3" borderId="5" xfId="0" applyNumberFormat="1" applyFont="1" applyFill="1" applyBorder="1" applyAlignment="1">
      <x:alignment horizontal="center" vertical="center" wrapText="1"/>
    </x:xf>
    <x:xf numFmtId="0" fontId="15" fillId="3" borderId="6" xfId="0" applyNumberFormat="1" applyFont="1" applyFill="1" applyBorder="1" applyAlignment="1">
      <x:alignment horizontal="center"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0" borderId="5" xfId="0" applyNumberFormat="1" applyFont="1" applyFill="1" applyBorder="1" applyAlignment="1">
      <x:alignment vertical="center" wrapText="1"/>
    </x:xf>
    <x:xf numFmtId="0" fontId="17" fillId="0" borderId="5" xfId="0" applyNumberFormat="1" applyFont="1" applyFill="1" applyBorder="1" applyAlignment="1">
      <x:alignment vertical="center" wrapText="1"/>
    </x:xf>
    <x:xf numFmtId="0" fontId="16" fillId="14" borderId="5" xfId="0" applyNumberFormat="1" applyFont="1" applyFill="1" applyBorder="1" applyAlignment="1">
      <x:alignment vertical="center" wrapText="1"/>
    </x:xf>
    <x:xf numFmtId="0" fontId="16" fillId="15" borderId="5" xfId="0" applyNumberFormat="1" applyFont="1" applyFill="1" applyBorder="1" applyAlignment="1">
      <x:alignment vertical="center" wrapText="1"/>
    </x:xf>
    <x:xf numFmtId="0" fontId="16" fillId="16" borderId="5" xfId="0" applyNumberFormat="1" applyFont="1" applyFill="1" applyBorder="1" applyAlignment="1">
      <x:alignment vertical="center" wrapText="1"/>
    </x:xf>
    <x:xf numFmtId="0" fontId="16" fillId="17" borderId="5" xfId="0" applyNumberFormat="1" applyFont="1" applyFill="1" applyBorder="1" applyAlignment="1">
      <x:alignment vertical="center" wrapText="1"/>
    </x:xf>
    <x:xf numFmtId="0" fontId="16" fillId="16" borderId="6" xfId="0" applyNumberFormat="1" applyFont="1" applyFill="1" applyBorder="1" applyAlignment="1">
      <x:alignment vertical="center" wrapText="1"/>
    </x:xf>
    <x:xf numFmtId="0" fontId="16" fillId="0" borderId="7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7" fillId="0" borderId="8" xfId="0" applyNumberFormat="1" applyFont="1" applyFill="1" applyBorder="1" applyAlignment="1">
      <x:alignment vertical="center" wrapText="1"/>
    </x:xf>
    <x:xf numFmtId="0" fontId="16" fillId="14" borderId="8" xfId="0" applyNumberFormat="1" applyFont="1" applyFill="1" applyBorder="1" applyAlignment="1">
      <x:alignment vertical="center" wrapText="1"/>
    </x:xf>
    <x:xf numFmtId="0" fontId="16" fillId="15" borderId="8" xfId="0" applyNumberFormat="1" applyFont="1" applyFill="1" applyBorder="1" applyAlignment="1">
      <x:alignment vertical="center" wrapText="1"/>
    </x:xf>
    <x:xf numFmtId="0" fontId="16" fillId="16" borderId="8" xfId="0" applyNumberFormat="1" applyFont="1" applyFill="1" applyBorder="1" applyAlignment="1">
      <x:alignment vertical="center" wrapText="1"/>
    </x:xf>
    <x:xf numFmtId="0" fontId="16" fillId="17" borderId="8" xfId="0" applyNumberFormat="1" applyFont="1" applyFill="1" applyBorder="1" applyAlignment="1">
      <x:alignment vertical="center" wrapText="1"/>
    </x:xf>
    <x:xf numFmtId="0" fontId="16" fillId="16" borderId="9" xfId="0" applyNumberFormat="1" applyFont="1" applyFill="1" applyBorder="1" applyAlignment="1">
      <x:alignment vertical="center" wrapText="1"/>
    </x:xf>
    <x:xf numFmtId="0" fontId="18" fillId="4" borderId="1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8" fillId="4" borderId="3" xfId="0" applyNumberFormat="1" applyFont="1" applyFill="1" applyBorder="1" applyAlignment="1">
      <x:alignment horizontal="center" vertical="center" wrapText="1"/>
    </x:xf>
    <x:xf numFmtId="0" fontId="16" fillId="0" borderId="4" xfId="0" applyNumberFormat="1" applyFont="1" applyFill="1" applyBorder="1" applyAlignment="1">
      <x:alignment vertical="top" wrapText="1"/>
    </x:xf>
    <x:xf numFmtId="0" fontId="16" fillId="0" borderId="5" xfId="0" applyNumberFormat="1" applyFont="1" applyFill="1" applyBorder="1" applyAlignment="1">
      <x:alignment vertical="top" wrapText="1"/>
    </x:xf>
    <x:xf numFmtId="0" fontId="17" fillId="0" borderId="5" xfId="0" applyNumberFormat="1" applyFont="1" applyFill="1" applyBorder="1" applyAlignment="1">
      <x:alignment vertical="top" wrapText="1"/>
    </x:xf>
    <x:xf numFmtId="164" fontId="16" fillId="0" borderId="5" xfId="0" applyNumberFormat="1" applyFont="1" applyFill="1" applyBorder="1" applyAlignment="1">
      <x:alignment vertical="top" wrapText="1"/>
    </x:xf>
    <x:xf numFmtId="166" fontId="16" fillId="0" borderId="5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7" fillId="0" borderId="8" xfId="0" applyNumberFormat="1" applyFont="1" applyFill="1" applyBorder="1" applyAlignment="1">
      <x:alignment vertical="top" wrapText="1"/>
    </x:xf>
    <x:xf numFmtId="164" fontId="16" fillId="0" borderId="8" xfId="0" applyNumberFormat="1" applyFont="1" applyFill="1" applyBorder="1" applyAlignment="1">
      <x:alignment vertical="top" wrapText="1"/>
    </x:xf>
    <x:xf numFmtId="166" fontId="16" fillId="0" borderId="8" xfId="0" applyNumberFormat="1" applyFont="1" applyFill="1" applyBorder="1" applyAlignment="1">
      <x:alignment vertical="top" wrapText="1"/>
    </x:xf>
    <x:xf numFmtId="0" fontId="16" fillId="0" borderId="9" xfId="0" applyNumberFormat="1" applyFont="1" applyFill="1" applyBorder="1" applyAlignment="1">
      <x:alignment vertical="top" wrapText="1"/>
    </x:xf>
    <x:xf numFmtId="164" fontId="6" fillId="0" borderId="8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164" fontId="6" fillId="0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17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164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17" fillId="0" borderId="9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13" borderId="5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12" borderId="5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1" fontId="16" fillId="0" borderId="5" xfId="0" applyNumberFormat="1" applyFont="1" applyFill="1" applyBorder="1" applyAlignment="1">
      <x:alignment vertical="top" wrapText="1"/>
    </x:xf>
    <x:xf numFmtId="0" fontId="24" fillId="22" borderId="0" xfId="0" applyNumberFormat="1" applyFont="1" applyFill="1" applyBorder="1" applyAlignment="1">
      <x:alignment horizontal="center" vertical="center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3" xfId="0" applyNumberFormat="1" applyFont="1" applyFill="1" applyBorder="1" applyAlignment="1">
      <x:alignment horizontal="center" vertical="top" wrapText="1"/>
    </x:xf>
    <x:xf numFmtId="0" fontId="6" fillId="0" borderId="15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horizontal="center" vertical="top" wrapText="1"/>
    </x:xf>
    <x:xf numFmtId="167" fontId="6" fillId="0" borderId="12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Alignment="1">
      <x:alignment horizontal="center" vertical="top" wrapText="1"/>
    </x:xf>
    <x:xf numFmtId="167" fontId="6" fillId="0" borderId="14" xfId="0" applyNumberFormat="1" applyFont="1" applyFill="1" applyBorder="1" applyAlignment="1">
      <x:alignment horizontal="center" vertical="top" wrapText="1"/>
    </x:xf>
    <x:xf numFmtId="0" fontId="6" fillId="0" borderId="16" xfId="0" applyNumberFormat="1" applyFont="1" applyFill="1" applyBorder="1" applyAlignment="1">
      <x:alignment horizontal="center" vertical="top" wrapText="1"/>
    </x:xf>
    <x:xf numFmtId="167" fontId="6" fillId="0" borderId="17" xfId="0" applyNumberFormat="1" applyFont="1" applyFill="1" applyBorder="1" applyAlignment="1">
      <x:alignment horizontal="center" vertical="top" wrapText="1"/>
    </x:xf>
    <x:xf numFmtId="0" fontId="26" fillId="20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1" fillId="12" borderId="2" xfId="0" applyNumberFormat="1" applyFont="1" applyFill="1" applyBorder="1" applyAlignment="1">
      <x:alignment horizontal="center" vertic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165" fontId="7" fillId="7" borderId="0" xfId="0" applyNumberFormat="1" applyFont="1" applyFill="1" applyBorder="1" applyAlignment="1">
      <x:alignment horizontal="center" vertical="center"/>
    </x:xf>
    <x:xf numFmtId="9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13" fillId="11" borderId="2" xfId="0" applyNumberFormat="1" applyFont="1" applyFill="1" applyBorder="1" applyAlignment="1">
      <x:alignment horizontal="center" vertical="center" wrapText="1"/>
    </x:xf>
    <x:xf numFmtId="0" fontId="13" fillId="11" borderId="3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9" fillId="13" borderId="0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horizontal="center" vertical="center"/>
    </x:xf>
    <x:xf numFmtId="0" fontId="27" fillId="23" borderId="0" xfId="0" applyNumberFormat="1" applyFont="1" applyFill="1" applyBorder="1" applyAlignment="1">
      <x:alignment vertical="top" wrapText="1"/>
    </x:xf>
    <x:xf numFmtId="0" fontId="21" fillId="19" borderId="0" xfId="0" applyNumberFormat="1" applyFont="1" applyFill="1" applyBorder="1" applyAlignment="1">
      <x:alignment horizontal="center" vertical="center"/>
    </x:xf>
    <x:xf numFmtId="0" fontId="22" fillId="20" borderId="0" xfId="0" applyNumberFormat="1" applyFont="1" applyFill="1" applyBorder="1" applyAlignment="1">
      <x:alignment horizontal="center" vertical="center"/>
    </x:xf>
    <x:xf numFmtId="0" fontId="23" fillId="21" borderId="0" xfId="0" applyNumberFormat="1" applyFont="1" applyFill="1" applyBorder="1" applyAlignment="1">
      <x:alignment horizontal="center" vertical="center"/>
    </x:xf>
    <x:xf numFmtId="0" fontId="25" fillId="19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5" fillId="6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vertical="center" wrapText="1"/>
    </x:xf>
    <x:xf numFmtId="164" fontId="6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/>
    <x:xf numFmtId="0" fontId="6" fillId="0" borderId="22" xfId="0" applyNumberFormat="1" applyFont="1" applyFill="1" applyBorder="1" applyAlignment="1">
      <x:alignment vertical="center" wrapText="1"/>
    </x:xf>
    <x:xf numFmtId="164" fontId="6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/>
    <x:xf numFmtId="0" fontId="6" fillId="0" borderId="23" xfId="0" applyNumberFormat="1" applyFont="1" applyFill="1" applyBorder="1" applyAlignment="1">
      <x:alignment vertical="center" wrapText="1"/>
    </x:xf>
    <x:xf numFmtId="0" fontId="6" fillId="0" borderId="25" xfId="0" applyNumberFormat="1" applyFont="1" applyFill="1" applyBorder="1" applyAlignment="1">
      <x:alignment vertical="center" wrapText="1"/>
    </x:xf>
    <x:xf numFmtId="0" fontId="6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/>
    <x:xf numFmtId="0" fontId="9" fillId="9" borderId="19" xfId="0" applyNumberFormat="1" applyFont="1" applyFill="1" applyBorder="1" applyAlignment="1">
      <x:alignment horizontal="center" vertical="center" wrapText="1"/>
    </x:xf>
    <x:xf numFmtId="0" fontId="9" fillId="9" borderId="20" xfId="0" applyNumberFormat="1" applyFont="1" applyFill="1" applyBorder="1" applyAlignment="1">
      <x:alignment horizontal="center" vertical="center" wrapText="1"/>
    </x:xf>
    <x:xf numFmtId="0" fontId="9" fillId="9" borderId="21" xfId="0" applyNumberFormat="1" applyFont="1" applyFill="1" applyBorder="1" applyAlignment="1">
      <x:alignment horizontal="center" vertical="center" wrapText="1"/>
    </x:xf>
    <x:xf numFmtId="9" fontId="6" fillId="0" borderId="23" xfId="0" applyNumberFormat="1" applyFont="1" applyFill="1" applyBorder="1" applyAlignment="1">
      <x:alignment vertical="center" wrapText="1"/>
    </x:xf>
    <x:xf numFmtId="0" fontId="6" fillId="0" borderId="24" xfId="0" applyNumberFormat="1" applyFont="1" applyFill="1" applyBorder="1" applyAlignment="1">
      <x:alignment vertical="center" wrapText="1"/>
    </x:xf>
    <x:xf numFmtId="9" fontId="6" fillId="0" borderId="26" xfId="0" applyNumberFormat="1" applyFont="1" applyFill="1" applyBorder="1" applyAlignment="1">
      <x:alignment vertical="center" wrapText="1"/>
    </x:xf>
    <x:xf numFmtId="0" fontId="6" fillId="0" borderId="27" xfId="0" applyNumberFormat="1" applyFont="1" applyFill="1" applyBorder="1" applyAlignment="1">
      <x:alignment vertical="center" wrapText="1"/>
    </x:xf>
    <x:xf numFmtId="0" fontId="10" fillId="0" borderId="23" xfId="0" applyNumberFormat="1" applyFont="1" applyFill="1" applyBorder="1" applyAlignment="1">
      <x:alignment vertical="center" wrapText="1"/>
    </x:xf>
    <x:xf numFmtId="0" fontId="10" fillId="0" borderId="26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horizontal="center" vertical="center" wrapText="1"/>
    </x:xf>
    <x:xf numFmtId="0" fontId="9" fillId="7" borderId="20" xfId="0" applyNumberFormat="1" applyFont="1" applyFill="1" applyBorder="1" applyAlignment="1">
      <x:alignment horizontal="center" vertical="center" wrapText="1"/>
    </x:xf>
    <x:xf numFmtId="0" fontId="9" fillId="7" borderId="21" xfId="0" applyNumberFormat="1" applyFont="1" applyFill="1" applyBorder="1" applyAlignment="1">
      <x:alignment horizontal="center" vertical="center" wrapText="1"/>
    </x:xf>
    <x:xf numFmtId="0" fontId="10" fillId="0" borderId="24" xfId="0" applyNumberFormat="1" applyFont="1" applyFill="1" applyBorder="1" applyAlignment="1">
      <x:alignment vertical="center" wrapText="1"/>
    </x:xf>
    <x:xf numFmtId="0" fontId="10" fillId="0" borderId="27" xfId="0" applyNumberFormat="1" applyFont="1" applyFill="1" applyBorder="1" applyAlignment="1">
      <x:alignment vertical="center" wrapText="1"/>
    </x:xf>
    <x:xf numFmtId="0" fontId="6" fillId="0" borderId="20" xfId="0" applyNumberFormat="1" applyFont="1" applyFill="1" applyBorder="1" applyAlignment="1">
      <x:alignment vertical="center" wrapText="1"/>
    </x:xf>
    <x:xf numFmtId="0" fontId="6" fillId="0" borderId="21" xfId="0" applyNumberFormat="1" applyFont="1" applyFill="1" applyBorder="1" applyAlignment="1">
      <x:alignment vertical="center" wrapText="1"/>
    </x:xf>
    <x:xf numFmtId="0" fontId="13" fillId="11" borderId="19" xfId="0" applyNumberFormat="1" applyFont="1" applyFill="1" applyBorder="1" applyAlignment="1">
      <x:alignment horizontal="center" vertical="center" wrapText="1"/>
    </x:xf>
    <x:xf numFmtId="0" fontId="13" fillId="11" borderId="20" xfId="0" applyNumberFormat="1" applyFont="1" applyFill="1" applyBorder="1" applyAlignment="1">
      <x:alignment horizontal="center" vertical="center" wrapText="1"/>
    </x:xf>
    <x:xf numFmtId="0" fontId="13" fillId="11" borderId="21" xfId="0" applyNumberFormat="1" applyFont="1" applyFill="1" applyBorder="1" applyAlignment="1">
      <x:alignment horizontal="center" vertical="center" wrapText="1"/>
    </x:xf>
    <x:xf numFmtId="0" fontId="9" fillId="10" borderId="19" xfId="0" applyNumberFormat="1" applyFont="1" applyFill="1" applyBorder="1" applyAlignment="1">
      <x:alignment horizontal="center" vertical="center" wrapText="1"/>
    </x:xf>
    <x:xf numFmtId="0" fontId="9" fillId="10" borderId="20" xfId="0" applyNumberFormat="1" applyFont="1" applyFill="1" applyBorder="1" applyAlignment="1">
      <x:alignment horizontal="center" vertical="center" wrapText="1"/>
    </x:xf>
    <x:xf numFmtId="0" fontId="15" fillId="0" borderId="22" xfId="0" applyNumberFormat="1" applyFont="1" applyFill="1" applyBorder="1" applyAlignment="1">
      <x:alignment horizontal="center" vertical="center" wrapText="1"/>
    </x:xf>
    <x:xf numFmtId="0" fontId="15" fillId="0" borderId="23" xfId="0" applyNumberFormat="1" applyFont="1" applyFill="1" applyBorder="1" applyAlignment="1">
      <x:alignment horizontal="center" vertical="center" wrapText="1"/>
    </x:xf>
    <x:xf numFmtId="0" fontId="15" fillId="13" borderId="23" xfId="0" applyNumberFormat="1" applyFont="1" applyFill="1" applyBorder="1" applyAlignment="1">
      <x:alignment horizontal="center" vertical="center" wrapText="1"/>
    </x:xf>
    <x:xf numFmtId="0" fontId="15" fillId="7" borderId="23" xfId="0" applyNumberFormat="1" applyFont="1" applyFill="1" applyBorder="1" applyAlignment="1">
      <x:alignment horizontal="center" vertical="center" wrapText="1"/>
    </x:xf>
    <x:xf numFmtId="0" fontId="15" fillId="8" borderId="23" xfId="0" applyNumberFormat="1" applyFont="1" applyFill="1" applyBorder="1" applyAlignment="1">
      <x:alignment horizontal="center" vertical="center" wrapText="1"/>
    </x:xf>
    <x:xf numFmtId="0" fontId="15" fillId="3" borderId="23" xfId="0" applyNumberFormat="1" applyFont="1" applyFill="1" applyBorder="1" applyAlignment="1">
      <x:alignment horizontal="center" vertical="center" wrapText="1"/>
    </x:xf>
    <x:xf numFmtId="0" fontId="15" fillId="3" borderId="24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16" fillId="0" borderId="23" xfId="0" applyNumberFormat="1" applyFont="1" applyFill="1" applyBorder="1" applyAlignment="1">
      <x:alignment vertical="center" wrapText="1"/>
    </x:xf>
    <x:xf numFmtId="0" fontId="17" fillId="0" borderId="23" xfId="0" applyNumberFormat="1" applyFont="1" applyFill="1" applyBorder="1" applyAlignment="1">
      <x:alignment vertical="center" wrapText="1"/>
    </x:xf>
    <x:xf numFmtId="0" fontId="16" fillId="14" borderId="23" xfId="0" applyNumberFormat="1" applyFont="1" applyFill="1" applyBorder="1" applyAlignment="1">
      <x:alignment vertical="center" wrapText="1"/>
    </x:xf>
    <x:xf numFmtId="0" fontId="16" fillId="15" borderId="23" xfId="0" applyNumberFormat="1" applyFont="1" applyFill="1" applyBorder="1" applyAlignment="1">
      <x:alignment vertical="center" wrapText="1"/>
    </x:xf>
    <x:xf numFmtId="0" fontId="16" fillId="16" borderId="23" xfId="0" applyNumberFormat="1" applyFont="1" applyFill="1" applyBorder="1" applyAlignment="1">
      <x:alignment vertical="center" wrapText="1"/>
    </x:xf>
    <x:xf numFmtId="0" fontId="16" fillId="17" borderId="23" xfId="0" applyNumberFormat="1" applyFont="1" applyFill="1" applyBorder="1" applyAlignment="1">
      <x:alignment vertical="center" wrapText="1"/>
    </x:xf>
    <x:xf numFmtId="0" fontId="16" fillId="16" borderId="24" xfId="0" applyNumberFormat="1" applyFont="1" applyFill="1" applyBorder="1" applyAlignment="1">
      <x:alignment vertical="center" wrapText="1"/>
    </x:xf>
    <x:xf numFmtId="0" fontId="16" fillId="0" borderId="25" xfId="0" applyNumberFormat="1" applyFont="1" applyFill="1" applyBorder="1" applyAlignment="1">
      <x:alignment vertical="center" wrapText="1"/>
    </x:xf>
    <x:xf numFmtId="0" fontId="16" fillId="0" borderId="26" xfId="0" applyNumberFormat="1" applyFont="1" applyFill="1" applyBorder="1" applyAlignment="1">
      <x:alignment vertical="center" wrapText="1"/>
    </x:xf>
    <x:xf numFmtId="0" fontId="17" fillId="0" borderId="26" xfId="0" applyNumberFormat="1" applyFont="1" applyFill="1" applyBorder="1" applyAlignment="1">
      <x:alignment vertical="center" wrapText="1"/>
    </x:xf>
    <x:xf numFmtId="0" fontId="16" fillId="14" borderId="26" xfId="0" applyNumberFormat="1" applyFont="1" applyFill="1" applyBorder="1" applyAlignment="1">
      <x:alignment vertical="center" wrapText="1"/>
    </x:xf>
    <x:xf numFmtId="0" fontId="16" fillId="15" borderId="26" xfId="0" applyNumberFormat="1" applyFont="1" applyFill="1" applyBorder="1" applyAlignment="1">
      <x:alignment vertical="center" wrapText="1"/>
    </x:xf>
    <x:xf numFmtId="0" fontId="16" fillId="16" borderId="26" xfId="0" applyNumberFormat="1" applyFont="1" applyFill="1" applyBorder="1" applyAlignment="1">
      <x:alignment vertical="center" wrapText="1"/>
    </x:xf>
    <x:xf numFmtId="0" fontId="16" fillId="17" borderId="26" xfId="0" applyNumberFormat="1" applyFont="1" applyFill="1" applyBorder="1" applyAlignment="1">
      <x:alignment vertical="center" wrapText="1"/>
    </x:xf>
    <x:xf numFmtId="0" fontId="16" fillId="16" borderId="27" xfId="0" applyNumberFormat="1" applyFont="1" applyFill="1" applyBorder="1" applyAlignment="1">
      <x:alignment vertical="center" wrapText="1"/>
    </x:xf>
    <x:xf numFmtId="0" fontId="18" fillId="4" borderId="19" xfId="0" applyNumberFormat="1" applyFont="1" applyFill="1" applyBorder="1" applyAlignment="1">
      <x:alignment horizontal="center" vertical="center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8" fillId="4" borderId="21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top" wrapText="1"/>
    </x:xf>
    <x:xf numFmtId="0" fontId="16" fillId="0" borderId="23" xfId="0" applyNumberFormat="1" applyFont="1" applyFill="1" applyBorder="1" applyAlignment="1">
      <x:alignment vertical="top" wrapText="1"/>
    </x:xf>
    <x:xf numFmtId="0" fontId="17" fillId="0" borderId="23" xfId="0" applyNumberFormat="1" applyFont="1" applyFill="1" applyBorder="1" applyAlignment="1">
      <x:alignment vertical="top" wrapText="1"/>
    </x:xf>
    <x:xf numFmtId="164" fontId="16" fillId="0" borderId="23" xfId="0" applyNumberFormat="1" applyFont="1" applyFill="1" applyBorder="1" applyAlignment="1">
      <x:alignment vertical="top" wrapText="1"/>
    </x:xf>
    <x:xf numFmtId="166" fontId="16" fillId="0" borderId="23" xfId="0" applyNumberFormat="1" applyFont="1" applyFill="1" applyBorder="1" applyAlignment="1">
      <x:alignment vertical="top" wrapText="1"/>
    </x:xf>
    <x:xf numFmtId="0" fontId="16" fillId="0" borderId="24" xfId="0" applyNumberFormat="1" applyFont="1" applyFill="1" applyBorder="1" applyAlignment="1">
      <x:alignment vertical="top" wrapText="1"/>
    </x:xf>
    <x:xf numFmtId="0" fontId="16" fillId="0" borderId="25" xfId="0" applyNumberFormat="1" applyFont="1" applyFill="1" applyBorder="1" applyAlignment="1">
      <x:alignment vertical="top" wrapText="1"/>
    </x:xf>
    <x:xf numFmtId="0" fontId="16" fillId="0" borderId="26" xfId="0" applyNumberFormat="1" applyFont="1" applyFill="1" applyBorder="1" applyAlignment="1">
      <x:alignment vertical="top" wrapText="1"/>
    </x:xf>
    <x:xf numFmtId="0" fontId="17" fillId="0" borderId="26" xfId="0" applyNumberFormat="1" applyFont="1" applyFill="1" applyBorder="1" applyAlignment="1">
      <x:alignment vertical="top" wrapText="1"/>
    </x:xf>
    <x:xf numFmtId="164" fontId="16" fillId="0" borderId="26" xfId="0" applyNumberFormat="1" applyFont="1" applyFill="1" applyBorder="1" applyAlignment="1">
      <x:alignment vertical="top" wrapText="1"/>
    </x:xf>
    <x:xf numFmtId="166" fontId="16" fillId="0" borderId="26" xfId="0" applyNumberFormat="1" applyFont="1" applyFill="1" applyBorder="1" applyAlignment="1">
      <x:alignment vertical="top" wrapText="1"/>
    </x:xf>
    <x:xf numFmtId="0" fontId="16" fillId="0" borderId="27" xfId="0" applyNumberFormat="1" applyFont="1" applyFill="1" applyBorder="1" applyAlignment="1">
      <x:alignment vertical="top" wrapText="1"/>
    </x:xf>
    <x:xf numFmtId="164" fontId="6" fillId="0" borderId="26" xfId="0" applyNumberFormat="1" applyFont="1" applyFill="1" applyBorder="1" applyAlignment="1">
      <x:alignment vertical="center" wrapText="1"/>
    </x:xf>
    <x:xf numFmtId="0" fontId="6" fillId="0" borderId="22" xfId="0" applyNumberFormat="1" applyFont="1" applyFill="1" applyBorder="1" applyAlignment="1">
      <x:alignment vertical="top" wrapText="1"/>
    </x:xf>
    <x:xf numFmtId="164" fontId="6" fillId="0" borderId="23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17" fillId="0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164" fontId="6" fillId="0" borderId="26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17" fillId="0" borderId="27" xfId="0" applyNumberFormat="1" applyFont="1" applyFill="1" applyBorder="1" applyAlignment="1">
      <x:alignment vertical="top" wrapText="1"/>
    </x:xf>
    <x:xf numFmtId="0" fontId="6" fillId="7" borderId="23" xfId="0" applyNumberFormat="1" applyFont="1" applyFill="1" applyBorder="1" applyAlignment="1">
      <x:alignment vertical="top" wrapText="1"/>
    </x:xf>
    <x:xf numFmtId="0" fontId="6" fillId="13" borderId="23" xfId="0" applyNumberFormat="1" applyFont="1" applyFill="1" applyBorder="1" applyAlignment="1">
      <x:alignment vertical="top" wrapText="1"/>
    </x:xf>
    <x:xf numFmtId="0" fontId="6" fillId="8" borderId="26" xfId="0" applyNumberFormat="1" applyFont="1" applyFill="1" applyBorder="1" applyAlignment="1">
      <x:alignment vertical="top" wrapText="1"/>
    </x:xf>
    <x:xf numFmtId="0" fontId="6" fillId="8" borderId="23" xfId="0" applyNumberFormat="1" applyFont="1" applyFill="1" applyBorder="1" applyAlignment="1">
      <x:alignment vertical="top" wrapText="1"/>
    </x:xf>
    <x:xf numFmtId="0" fontId="6" fillId="3" borderId="23" xfId="0" applyNumberFormat="1" applyFont="1" applyFill="1" applyBorder="1" applyAlignment="1">
      <x:alignment vertical="top" wrapText="1"/>
    </x:xf>
    <x:xf numFmtId="0" fontId="6" fillId="12" borderId="23" xfId="0" applyNumberFormat="1" applyFont="1" applyFill="1" applyBorder="1" applyAlignment="1">
      <x:alignment vertical="top" wrapText="1"/>
    </x:xf>
    <x:xf numFmtId="0" fontId="9" fillId="3" borderId="19" xfId="0" applyNumberFormat="1" applyFont="1" applyFill="1" applyBorder="1" applyAlignment="1">
      <x:alignment horizontal="center" vertical="center" wrapText="1"/>
    </x:xf>
    <x:xf numFmtId="0" fontId="9" fillId="3" borderId="20" xfId="0" applyNumberFormat="1" applyFont="1" applyFill="1" applyBorder="1" applyAlignment="1">
      <x:alignment horizontal="center" vertical="center" wrapText="1"/>
    </x:xf>
    <x:xf numFmtId="0" fontId="9" fillId="3" borderId="21" xfId="0" applyNumberFormat="1" applyFont="1" applyFill="1" applyBorder="1" applyAlignment="1">
      <x:alignment horizontal="center" vertical="center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vertical="top" wrapText="1"/>
    </x:xf>
    <x:xf numFmtId="1" fontId="16" fillId="0" borderId="23" xfId="0" applyNumberFormat="1" applyFont="1" applyFill="1" applyBorder="1" applyAlignment="1">
      <x:alignment vertical="top" wrapText="1"/>
    </x:xf>
    <x:xf numFmtId="0" fontId="24" fillId="22" borderId="18" xfId="0" applyNumberFormat="1" applyFont="1" applyFill="1" applyBorder="1" applyAlignment="1">
      <x:alignment horizontal="center" vertical="center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horizontal="center" vertical="top" wrapText="1"/>
    </x:xf>
    <x:xf numFmtId="167" fontId="6" fillId="0" borderId="18" xfId="0" applyNumberFormat="1" applyFont="1" applyFill="1" applyBorder="1" applyAlignment="1">
      <x:alignment horizontal="center" vertical="top" wrapText="1"/>
    </x:xf>
    <x:xf numFmtId="0" fontId="26" fillId="20" borderId="18" xfId="0" applyNumberFormat="1" applyFont="1" applyFill="1" applyBorder="1" applyAlignment="1">
      <x:alignment horizontal="center" vertical="top"/>
    </x:xf>
    <x:xf numFmtId="0" fontId="1" fillId="2" borderId="1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3" fillId="3" borderId="18" xfId="0" applyNumberFormat="1" applyFont="1" applyFill="1" applyBorder="1" applyAlignment="1">
      <x:alignment horizontal="center" vertical="center" wrapText="1"/>
    </x:xf>
    <x:xf numFmtId="0" fontId="4" fillId="4" borderId="20" xfId="0" applyNumberFormat="1" applyFont="1" applyFill="1" applyBorder="1" applyAlignment="1">
      <x:alignment horizontal="center" vertical="center"/>
    </x:xf>
    <x:xf numFmtId="0" fontId="11" fillId="7" borderId="20" xfId="0" applyNumberFormat="1" applyFont="1" applyFill="1" applyBorder="1" applyAlignment="1">
      <x:alignment horizontal="center" vertical="center"/>
    </x:xf>
    <x:xf numFmtId="0" fontId="11" fillId="6" borderId="20" xfId="0" applyNumberFormat="1" applyFont="1" applyFill="1" applyBorder="1" applyAlignment="1">
      <x:alignment horizontal="center" vertical="center"/>
    </x:xf>
    <x:xf numFmtId="0" fontId="11" fillId="12" borderId="20" xfId="0" applyNumberFormat="1" applyFont="1" applyFill="1" applyBorder="1" applyAlignment="1">
      <x:alignment horizontal="center" vertical="center"/>
    </x:xf>
    <x:xf numFmtId="0" fontId="11" fillId="12" borderId="21" xfId="0" applyNumberFormat="1" applyFont="1" applyFill="1" applyBorder="1" applyAlignment="1">
      <x:alignment horizontal="center" vertic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7" fillId="7" borderId="18" xfId="0" applyNumberFormat="1" applyFont="1" applyFill="1" applyBorder="1" applyAlignment="1">
      <x:alignment horizontal="center" vertical="center"/>
    </x:xf>
    <x:xf numFmtId="165" fontId="7" fillId="7" borderId="18" xfId="0" applyNumberFormat="1" applyFont="1" applyFill="1" applyBorder="1" applyAlignment="1">
      <x:alignment horizontal="center" vertical="center"/>
    </x:xf>
    <x:xf numFmtId="9" fontId="8" fillId="8" borderId="18" xfId="0" applyNumberFormat="1" applyFont="1" applyFill="1" applyBorder="1" applyAlignment="1">
      <x:alignment horizontal="center" vertical="center"/>
    </x:xf>
    <x:xf numFmtId="0" fontId="8" fillId="8" borderId="18" xfId="0" applyNumberFormat="1" applyFont="1" applyFill="1" applyBorder="1" applyAlignment="1">
      <x:alignment horizontal="center" vertical="center"/>
    </x:xf>
    <x:xf numFmtId="0" fontId="11" fillId="6" borderId="19" xfId="0" applyNumberFormat="1" applyFont="1" applyFill="1" applyBorder="1" applyAlignment="1">
      <x:alignment horizontal="center" vertical="center"/>
    </x:xf>
    <x:xf numFmtId="0" fontId="11" fillId="6" borderId="21" xfId="0" applyNumberFormat="1" applyFont="1" applyFill="1" applyBorder="1" applyAlignment="1">
      <x:alignment horizontal="center" vertical="center"/>
    </x:xf>
    <x:xf numFmtId="0" fontId="12" fillId="10" borderId="18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vertical="center" wrapText="1"/>
    </x:xf>
    <x:xf numFmtId="0" fontId="14" fillId="8" borderId="18" xfId="0" applyNumberFormat="1" applyFont="1" applyFill="1" applyBorder="1" applyAlignment="1">
      <x:alignment vertical="center" wrapText="1"/>
    </x:xf>
    <x:xf numFmtId="0" fontId="19" fillId="13" borderId="18" xfId="0" applyNumberFormat="1" applyFont="1" applyFill="1" applyBorder="1" applyAlignment="1">
      <x:alignment horizontal="center" vertical="center" wrapText="1"/>
    </x:xf>
    <x:xf numFmtId="0" fontId="14" fillId="8" borderId="18" xfId="0" applyNumberFormat="1" applyFont="1" applyFill="1" applyBorder="1" applyAlignment="1">
      <x:alignment horizontal="center" vertical="center" wrapText="1"/>
    </x:xf>
    <x:xf numFmtId="0" fontId="14" fillId="3" borderId="18" xfId="0" applyNumberFormat="1" applyFont="1" applyFill="1" applyBorder="1" applyAlignment="1">
      <x:alignment vertical="center" wrapText="1"/>
    </x:xf>
    <x:xf numFmtId="0" fontId="20" fillId="18" borderId="18" xfId="0" applyNumberFormat="1" applyFont="1" applyFill="1" applyBorder="1" applyAlignment="1">
      <x:alignment horizontal="center" vertical="center"/>
    </x:xf>
    <x:xf numFmtId="0" fontId="27" fillId="23" borderId="18" xfId="0" applyNumberFormat="1" applyFont="1" applyFill="1" applyBorder="1" applyAlignment="1">
      <x:alignment vertical="top" wrapText="1"/>
    </x:xf>
    <x:xf numFmtId="0" fontId="21" fillId="19" borderId="18" xfId="0" applyNumberFormat="1" applyFont="1" applyFill="1" applyBorder="1" applyAlignment="1">
      <x:alignment horizontal="center" vertical="center"/>
    </x:xf>
    <x:xf numFmtId="0" fontId="22" fillId="20" borderId="18" xfId="0" applyNumberFormat="1" applyFont="1" applyFill="1" applyBorder="1" applyAlignment="1">
      <x:alignment horizontal="center" vertical="center"/>
    </x:xf>
    <x:xf numFmtId="0" fontId="23" fillId="21" borderId="18" xfId="0" applyNumberFormat="1" applyFont="1" applyFill="1" applyBorder="1" applyAlignment="1">
      <x:alignment horizontal="center" vertical="center"/>
    </x:xf>
    <x:xf numFmtId="0" fontId="25" fillId="19" borderId="18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0" fillId="24" borderId="18" xfId="0" applyNumberFormat="1" applyFont="1" applyFill="1" applyBorder="1"/>
    <x:xf numFmtId="0" fontId="28" fillId="24" borderId="0" xfId="0" applyNumberFormat="1" applyFont="1" applyFill="1" applyBorder="1"/>
    <x:xf numFmtId="0" fontId="28" fillId="24" borderId="18" xfId="0" applyNumberFormat="1" applyFont="1" applyFill="1" applyBorder="1"/>
    <x:xf numFmtId="0" fontId="28" fillId="24" borderId="0" xfId="0" applyNumberFormat="1" applyFont="1" applyFill="1" applyBorder="1" applyAlignment="1">
      <x:alignment horizontal="center"/>
    </x:xf>
    <x:xf numFmtId="0" fontId="28" fillId="24" borderId="18" xfId="0" applyNumberFormat="1" applyFont="1" applyFill="1" applyBorder="1" applyAlignment="1">
      <x:alignment horizontal="center"/>
    </x:xf>
    <x:xf numFmtId="0" fontId="28" fillId="24" borderId="0" xfId="0" applyNumberFormat="1" applyFont="1" applyFill="1" applyBorder="1" applyAlignment="1">
      <x:alignment horizontal="center" vertical="center"/>
    </x:xf>
    <x:xf numFmtId="0" fontId="28" fillId="24" borderId="18" xfId="0" applyNumberFormat="1" applyFont="1" applyFill="1" applyBorder="1" applyAlignment="1">
      <x:alignment horizontal="center" vertical="center"/>
    </x:xf>
    <x:xf numFmtId="0" fontId="28" fillId="24" borderId="0" xfId="0" applyNumberFormat="1" applyFont="1" applyFill="1" applyBorder="1" applyAlignment="1">
      <x:alignment horizontal="center" vertical="center" wrapText="1"/>
    </x:xf>
    <x:xf numFmtId="0" fontId="28" fillId="24" borderId="1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8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200" fontId="0" fillId="0" borderId="18" xfId="0" applyNumberFormat="1" applyFont="1" applyFill="1" applyBorder="1" applyAlignment="1">
      <x:alignment horizontal="center" vertical="top" wrapText="1"/>
    </x:xf>
    <x:xf numFmtId="201" fontId="16" fillId="0" borderId="5" xfId="0" applyNumberFormat="1" applyFont="1" applyFill="1" applyBorder="1" applyAlignment="1">
      <x:alignment vertical="top" wrapText="1"/>
    </x:xf>
    <x:xf numFmtId="201" fontId="16" fillId="0" borderId="23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0" fillId="25" borderId="18" xfId="0" applyNumberFormat="1" applyFont="1" applyFill="1" applyBorder="1"/>
    <x:xf numFmtId="0" fontId="29" fillId="25" borderId="0" xfId="0" applyNumberFormat="1" applyFont="1" applyFill="1" applyBorder="1"/>
    <x:xf numFmtId="0" fontId="29" fillId="25" borderId="18" xfId="0" applyNumberFormat="1" applyFont="1" applyFill="1" applyBorder="1"/>
    <x:xf numFmtId="0" fontId="29" fillId="25" borderId="0" xfId="0" applyNumberFormat="1" applyFont="1" applyFill="1" applyBorder="1" applyAlignment="1">
      <x:alignment horizontal="center"/>
    </x:xf>
    <x:xf numFmtId="0" fontId="29" fillId="25" borderId="18" xfId="0" applyNumberFormat="1" applyFont="1" applyFill="1" applyBorder="1" applyAlignment="1">
      <x:alignment horizontal="center"/>
    </x:xf>
    <x:xf numFmtId="0" fontId="29" fillId="25" borderId="0" xfId="0" applyNumberFormat="1" applyFont="1" applyFill="1" applyBorder="1" applyAlignment="1">
      <x:alignment horizontal="center" vertical="center"/>
    </x:xf>
    <x:xf numFmtId="0" fontId="29" fillId="25" borderId="18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0" fillId="26" borderId="18" xfId="0" applyNumberFormat="1" applyFont="1" applyFill="1" applyBorder="1"/>
    <x:xf numFmtId="0" fontId="30" fillId="26" borderId="0" xfId="0" applyNumberFormat="1" applyFont="1" applyFill="1" applyBorder="1"/>
    <x:xf numFmtId="0" fontId="30" fillId="26" borderId="18" xfId="0" applyNumberFormat="1" applyFont="1" applyFill="1" applyBorder="1"/>
    <x:xf numFmtId="0" fontId="30" fillId="26" borderId="0" xfId="0" applyNumberFormat="1" applyFont="1" applyFill="1" applyBorder="1" applyAlignment="1">
      <x:alignment horizontal="center"/>
    </x:xf>
    <x:xf numFmtId="0" fontId="30" fillId="26" borderId="18" xfId="0" applyNumberFormat="1" applyFont="1" applyFill="1" applyBorder="1" applyAlignment="1">
      <x:alignment horizontal="center"/>
    </x:xf>
    <x:xf numFmtId="0" fontId="30" fillId="26" borderId="0" xfId="0" applyNumberFormat="1" applyFont="1" applyFill="1" applyBorder="1" applyAlignment="1">
      <x:alignment horizontal="center" vertical="center"/>
    </x:xf>
    <x:xf numFmtId="0" fontId="30" fillId="26" borderId="18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0" fillId="27" borderId="18" xfId="0" applyNumberFormat="1" applyFont="1" applyFill="1" applyBorder="1"/>
    <x:xf numFmtId="0" fontId="3" fillId="27" borderId="0" xfId="0" applyNumberFormat="1" applyFont="1" applyFill="1" applyBorder="1"/>
    <x:xf numFmtId="0" fontId="3" fillId="27" borderId="18" xfId="0" applyNumberFormat="1" applyFont="1" applyFill="1" applyBorder="1"/>
    <x:xf numFmtId="0" fontId="3" fillId="27" borderId="0" xfId="0" applyNumberFormat="1" applyFont="1" applyFill="1" applyBorder="1" applyAlignment="1">
      <x:alignment horizontal="center"/>
    </x:xf>
    <x:xf numFmtId="0" fontId="3" fillId="27" borderId="18" xfId="0" applyNumberFormat="1" applyFont="1" applyFill="1" applyBorder="1" applyAlignment="1">
      <x:alignment horizontal="center"/>
    </x:xf>
    <x:xf numFmtId="0" fontId="3" fillId="27" borderId="0" xfId="0" applyNumberFormat="1" applyFont="1" applyFill="1" applyBorder="1" applyAlignment="1">
      <x:alignment horizontal="center" vertical="center"/>
    </x:xf>
    <x:xf numFmtId="0" fontId="3" fillId="27" borderId="18" xfId="0" applyNumberFormat="1" applyFont="1" applyFill="1" applyBorder="1" applyAlignment="1">
      <x:alignment horizontal="center" vertical="center"/>
    </x:xf>
    <x:xf numFmtId="0" fontId="31" fillId="24" borderId="0" xfId="0" applyNumberFormat="1" applyFont="1" applyFill="1" applyBorder="1" applyAlignment="1">
      <x:alignment horizontal="center" vertical="center" wrapText="1"/>
    </x:xf>
    <x:xf numFmtId="0" fontId="31" fillId="24" borderId="18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0" fillId="28" borderId="18" xfId="0" applyNumberFormat="1" applyFont="1" applyFill="1" applyBorder="1" applyAlignment="1">
      <x:alignment vertical="top" wrapText="1"/>
    </x:xf>
    <x:xf numFmtId="0" fontId="13" fillId="28" borderId="0" xfId="0" applyNumberFormat="1" applyFont="1" applyFill="1" applyBorder="1" applyAlignment="1">
      <x:alignment vertical="top" wrapText="1"/>
    </x:xf>
    <x:xf numFmtId="0" fontId="13" fillId="28" borderId="18" xfId="0" applyNumberFormat="1" applyFont="1" applyFill="1" applyBorder="1" applyAlignment="1">
      <x:alignment vertical="top" wrapText="1"/>
    </x:xf>
    <x:xf numFmtId="0" fontId="13" fillId="28" borderId="0" xfId="0" applyNumberFormat="1" applyFont="1" applyFill="1" applyBorder="1" applyAlignment="1">
      <x:alignment horizontal="center" vertical="top" wrapText="1"/>
    </x:xf>
    <x:xf numFmtId="0" fontId="13" fillId="28" borderId="18" xfId="0" applyNumberFormat="1" applyFont="1" applyFill="1" applyBorder="1" applyAlignment="1">
      <x:alignment horizontal="center" vertical="top" wrapText="1"/>
    </x:xf>
    <x:xf numFmtId="0" fontId="13" fillId="28" borderId="0" xfId="0" applyNumberFormat="1" applyFont="1" applyFill="1" applyBorder="1" applyAlignment="1">
      <x:alignment horizontal="center" vertical="center" wrapText="1"/>
    </x:xf>
    <x:xf numFmtId="0" fontId="13" fillId="28" borderId="18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horizontal="center" vertical="top" wrapText="1"/>
    </x:xf>
    <x:xf numFmtId="0" fontId="32" fillId="0" borderId="0" xfId="0" applyNumberFormat="1" applyFont="1" applyFill="1" applyBorder="1" applyAlignment="1">
      <x:alignment vertical="top" wrapText="1"/>
    </x:xf>
    <x:xf numFmtId="200" fontId="32" fillId="0" borderId="0" xfId="0" applyNumberFormat="1" applyFont="1" applyFill="1" applyBorder="1" applyAlignment="1">
      <x:alignment horizontal="center" vertical="top" wrapText="1"/>
    </x:xf>
    <x:xf numFmtId="0" fontId="32" fillId="0" borderId="18" xfId="0" applyNumberFormat="1" applyFont="1" applyFill="1" applyBorder="1" applyAlignment="1">
      <x:alignment horizontal="center" vertical="top" wrapText="1"/>
    </x:xf>
    <x:xf numFmtId="0" fontId="32" fillId="0" borderId="18" xfId="0" applyNumberFormat="1" applyFont="1" applyFill="1" applyBorder="1" applyAlignment="1">
      <x:alignment vertical="top" wrapText="1"/>
    </x:xf>
    <x:xf numFmtId="200" fontId="32" fillId="0" borderId="18" xfId="0" applyNumberFormat="1" applyFont="1" applyFill="1" applyBorder="1" applyAlignment="1">
      <x:alignment horizontal="center" vertical="top" wrapText="1"/>
    </x:xf>
    <x:xf numFmtId="0" fontId="32" fillId="29" borderId="0" xfId="0" applyNumberFormat="1" applyFont="1" applyFill="1" applyBorder="1" applyAlignment="1">
      <x:alignment horizontal="center" vertical="top" wrapText="1"/>
    </x:xf>
    <x:xf numFmtId="0" fontId="32" fillId="29" borderId="0" xfId="0" applyNumberFormat="1" applyFont="1" applyFill="1" applyBorder="1" applyAlignment="1">
      <x:alignment vertical="top" wrapText="1"/>
    </x:xf>
    <x:xf numFmtId="200" fontId="32" fillId="29" borderId="0" xfId="0" applyNumberFormat="1" applyFont="1" applyFill="1" applyBorder="1" applyAlignment="1">
      <x:alignment horizontal="center" vertical="top" wrapText="1"/>
    </x:xf>
    <x:xf numFmtId="0" fontId="32" fillId="29" borderId="18" xfId="0" applyNumberFormat="1" applyFont="1" applyFill="1" applyBorder="1" applyAlignment="1">
      <x:alignment horizontal="center" vertical="top" wrapText="1"/>
    </x:xf>
    <x:xf numFmtId="0" fontId="32" fillId="29" borderId="18" xfId="0" applyNumberFormat="1" applyFont="1" applyFill="1" applyBorder="1" applyAlignment="1">
      <x:alignment vertical="top" wrapText="1"/>
    </x:xf>
    <x:xf numFmtId="200" fontId="32" fillId="29" borderId="18" xfId="0" applyNumberFormat="1" applyFont="1" applyFill="1" applyBorder="1" applyAlignment="1">
      <x:alignment horizontal="center" vertical="top" wrapText="1"/>
    </x:xf>
    <x:xf numFmtId="0" fontId="32" fillId="29" borderId="28" xfId="0" applyNumberFormat="1" applyFont="1" applyFill="1" applyBorder="1" applyAlignment="1">
      <x:alignment horizontal="center" vertical="top" wrapText="1"/>
    </x:xf>
    <x:xf numFmtId="0" fontId="32" fillId="29" borderId="29" xfId="0" applyNumberFormat="1" applyFont="1" applyFill="1" applyBorder="1" applyAlignment="1">
      <x:alignment vertical="top" wrapText="1"/>
    </x:xf>
    <x:xf numFmtId="0" fontId="32" fillId="29" borderId="29" xfId="0" applyNumberFormat="1" applyFont="1" applyFill="1" applyBorder="1" applyAlignment="1">
      <x:alignment horizontal="center" vertical="top" wrapText="1"/>
    </x:xf>
    <x:xf numFmtId="200" fontId="32" fillId="29" borderId="30" xfId="0" applyNumberFormat="1" applyFont="1" applyFill="1" applyBorder="1" applyAlignment="1">
      <x:alignment horizontal="center" vertical="top" wrapText="1"/>
    </x:xf>
    <x:xf numFmtId="0" fontId="32" fillId="29" borderId="31" xfId="0" applyNumberFormat="1" applyFont="1" applyFill="1" applyBorder="1" applyAlignment="1">
      <x:alignment horizontal="center" vertical="top" wrapText="1"/>
    </x:xf>
    <x:xf numFmtId="200" fontId="32" fillId="29" borderId="32" xfId="0" applyNumberFormat="1" applyFont="1" applyFill="1" applyBorder="1" applyAlignment="1">
      <x:alignment horizontal="center" vertical="top" wrapText="1"/>
    </x:xf>
    <x:xf numFmtId="0" fontId="32" fillId="29" borderId="33" xfId="0" applyNumberFormat="1" applyFont="1" applyFill="1" applyBorder="1" applyAlignment="1">
      <x:alignment horizontal="center" vertical="top" wrapText="1"/>
    </x:xf>
    <x:xf numFmtId="0" fontId="32" fillId="29" borderId="34" xfId="0" applyNumberFormat="1" applyFont="1" applyFill="1" applyBorder="1" applyAlignment="1">
      <x:alignment vertical="top" wrapText="1"/>
    </x:xf>
    <x:xf numFmtId="0" fontId="32" fillId="29" borderId="34" xfId="0" applyNumberFormat="1" applyFont="1" applyFill="1" applyBorder="1" applyAlignment="1">
      <x:alignment horizontal="center" vertical="top" wrapText="1"/>
    </x:xf>
    <x:xf numFmtId="200" fontId="32" fillId="29" borderId="35" xfId="0" applyNumberFormat="1" applyFont="1" applyFill="1" applyBorder="1" applyAlignment="1">
      <x:alignment horizontal="center" vertical="top" wrapText="1"/>
    </x:xf>
    <x:xf numFmtId="0" fontId="32" fillId="29" borderId="36" xfId="0" applyNumberFormat="1" applyFont="1" applyFill="1" applyBorder="1" applyAlignment="1">
      <x:alignment horizontal="center" vertical="top" wrapText="1"/>
    </x:xf>
    <x:xf numFmtId="0" fontId="32" fillId="29" borderId="37" xfId="0" applyNumberFormat="1" applyFont="1" applyFill="1" applyBorder="1" applyAlignment="1">
      <x:alignment vertical="top" wrapText="1"/>
    </x:xf>
    <x:xf numFmtId="0" fontId="32" fillId="29" borderId="37" xfId="0" applyNumberFormat="1" applyFont="1" applyFill="1" applyBorder="1" applyAlignment="1">
      <x:alignment horizontal="center" vertical="top" wrapText="1"/>
    </x:xf>
    <x:xf numFmtId="200" fontId="32" fillId="29" borderId="38" xfId="0" applyNumberFormat="1" applyFont="1" applyFill="1" applyBorder="1" applyAlignment="1">
      <x:alignment horizontal="center" vertical="top" wrapText="1"/>
    </x:xf>
    <x:xf numFmtId="0" fontId="32" fillId="29" borderId="39" xfId="0" applyNumberFormat="1" applyFont="1" applyFill="1" applyBorder="1" applyAlignment="1">
      <x:alignment horizontal="center" vertical="top" wrapText="1"/>
    </x:xf>
    <x:xf numFmtId="200" fontId="32" fillId="29" borderId="40" xfId="0" applyNumberFormat="1" applyFont="1" applyFill="1" applyBorder="1" applyAlignment="1">
      <x:alignment horizontal="center" vertical="top" wrapText="1"/>
    </x:xf>
    <x:xf numFmtId="0" fontId="32" fillId="29" borderId="41" xfId="0" applyNumberFormat="1" applyFont="1" applyFill="1" applyBorder="1" applyAlignment="1">
      <x:alignment horizontal="center" vertical="top" wrapText="1"/>
    </x:xf>
    <x:xf numFmtId="0" fontId="32" fillId="29" borderId="42" xfId="0" applyNumberFormat="1" applyFont="1" applyFill="1" applyBorder="1" applyAlignment="1">
      <x:alignment vertical="top" wrapText="1"/>
    </x:xf>
    <x:xf numFmtId="0" fontId="32" fillId="29" borderId="42" xfId="0" applyNumberFormat="1" applyFont="1" applyFill="1" applyBorder="1" applyAlignment="1">
      <x:alignment horizontal="center" vertical="top" wrapText="1"/>
    </x:xf>
    <x:xf numFmtId="200" fontId="32" fillId="29" borderId="43" xfId="0" applyNumberFormat="1" applyFont="1" applyFill="1" applyBorder="1" applyAlignment="1">
      <x:alignment horizontal="center" vertical="top" wrapText="1"/>
    </x:xf>
    <x:xf numFmtId="0" fontId="33" fillId="29" borderId="29" xfId="0" applyNumberFormat="1" applyFont="1" applyFill="1" applyBorder="1" applyAlignment="1">
      <x:alignment vertical="top" wrapText="1"/>
    </x:xf>
    <x:xf numFmtId="0" fontId="33" fillId="29" borderId="0" xfId="0" applyNumberFormat="1" applyFont="1" applyFill="1" applyBorder="1" applyAlignment="1">
      <x:alignment vertical="top" wrapText="1"/>
    </x:xf>
    <x:xf numFmtId="0" fontId="33" fillId="29" borderId="34" xfId="0" applyNumberFormat="1" applyFont="1" applyFill="1" applyBorder="1" applyAlignment="1">
      <x:alignment vertical="top" wrapText="1"/>
    </x:xf>
    <x:xf numFmtId="0" fontId="33" fillId="29" borderId="37" xfId="0" applyNumberFormat="1" applyFont="1" applyFill="1" applyBorder="1" applyAlignment="1">
      <x:alignment vertical="top" wrapText="1"/>
    </x:xf>
    <x:xf numFmtId="0" fontId="33" fillId="29" borderId="18" xfId="0" applyNumberFormat="1" applyFont="1" applyFill="1" applyBorder="1" applyAlignment="1">
      <x:alignment vertical="top" wrapText="1"/>
    </x:xf>
    <x:xf numFmtId="0" fontId="33" fillId="29" borderId="42" xfId="0" applyNumberFormat="1" applyFont="1" applyFill="1" applyBorder="1" applyAlignment="1">
      <x:alignment vertical="top" wrapText="1"/>
    </x:xf>
    <x:xf numFmtId="200" fontId="33" fillId="29" borderId="30" xfId="0" applyNumberFormat="1" applyFont="1" applyFill="1" applyBorder="1" applyAlignment="1">
      <x:alignment horizontal="center" vertical="top" wrapText="1"/>
    </x:xf>
    <x:xf numFmtId="200" fontId="33" fillId="29" borderId="32" xfId="0" applyNumberFormat="1" applyFont="1" applyFill="1" applyBorder="1" applyAlignment="1">
      <x:alignment horizontal="center" vertical="top" wrapText="1"/>
    </x:xf>
    <x:xf numFmtId="200" fontId="33" fillId="29" borderId="35" xfId="0" applyNumberFormat="1" applyFont="1" applyFill="1" applyBorder="1" applyAlignment="1">
      <x:alignment horizontal="center" vertical="top" wrapText="1"/>
    </x:xf>
    <x:xf numFmtId="200" fontId="33" fillId="29" borderId="38" xfId="0" applyNumberFormat="1" applyFont="1" applyFill="1" applyBorder="1" applyAlignment="1">
      <x:alignment horizontal="center" vertical="top" wrapText="1"/>
    </x:xf>
    <x:xf numFmtId="200" fontId="33" fillId="29" borderId="40" xfId="0" applyNumberFormat="1" applyFont="1" applyFill="1" applyBorder="1" applyAlignment="1">
      <x:alignment horizontal="center" vertical="top" wrapText="1"/>
    </x:xf>
    <x:xf numFmtId="200" fontId="33" fillId="29" borderId="43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wrapText="1"/>
    </x:xf>
    <x:xf numFmtId="0" fontId="0" fillId="25" borderId="18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wrapText="1"/>
    </x:xf>
    <x:xf numFmtId="0" fontId="4" fillId="25" borderId="18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horizontal="center" wrapText="1"/>
    </x:xf>
    <x:xf numFmtId="0" fontId="4" fillId="25" borderId="18" xfId="0" applyNumberFormat="1" applyFont="1" applyFill="1" applyBorder="1" applyAlignment="1">
      <x:alignment horizontal="center" wrapText="1"/>
    </x:xf>
    <x:xf numFmtId="0" fontId="4" fillId="25" borderId="0" xfId="0" applyNumberFormat="1" applyFont="1" applyFill="1" applyBorder="1" applyAlignment="1">
      <x:alignment horizontal="center" vertical="center" wrapText="1"/>
    </x:xf>
    <x:xf numFmtId="0" fontId="4" fillId="25" borderId="18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wrapText="1"/>
    </x:xf>
    <x:xf numFmtId="0" fontId="0" fillId="26" borderId="18" xfId="0" applyNumberFormat="1" applyFont="1" applyFill="1" applyBorder="1" applyAlignment="1">
      <x:alignment wrapText="1"/>
    </x:xf>
    <x:xf numFmtId="0" fontId="34" fillId="26" borderId="0" xfId="0" applyNumberFormat="1" applyFont="1" applyFill="1" applyBorder="1" applyAlignment="1">
      <x:alignment wrapText="1"/>
    </x:xf>
    <x:xf numFmtId="0" fontId="34" fillId="26" borderId="18" xfId="0" applyNumberFormat="1" applyFont="1" applyFill="1" applyBorder="1" applyAlignment="1">
      <x:alignment wrapText="1"/>
    </x:xf>
    <x:xf numFmtId="0" fontId="34" fillId="26" borderId="0" xfId="0" applyNumberFormat="1" applyFont="1" applyFill="1" applyBorder="1" applyAlignment="1">
      <x:alignment horizontal="center" wrapText="1"/>
    </x:xf>
    <x:xf numFmtId="0" fontId="34" fillId="26" borderId="18" xfId="0" applyNumberFormat="1" applyFont="1" applyFill="1" applyBorder="1" applyAlignment="1">
      <x:alignment horizontal="center" wrapText="1"/>
    </x:xf>
    <x:xf numFmtId="0" fontId="32" fillId="0" borderId="0" xfId="0" applyNumberFormat="1" applyFont="1" applyFill="1" applyBorder="1" applyAlignment="1">
      <x:alignment wrapText="1"/>
    </x:xf>
    <x:xf numFmtId="0" fontId="32" fillId="0" borderId="18" xfId="0" applyNumberFormat="1" applyFont="1" applyFill="1" applyBorder="1" applyAlignment="1">
      <x:alignment wrapText="1"/>
    </x:xf>
    <x:xf numFmtId="0" fontId="34" fillId="26" borderId="0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vertical="center" wrapText="1"/>
    </x:xf>
    <x:xf numFmtId="0" fontId="34" fillId="26" borderId="18" xfId="0" applyNumberFormat="1" applyFont="1" applyFill="1" applyBorder="1" applyAlignment="1">
      <x:alignment horizontal="center" vertical="center" wrapText="1"/>
    </x:xf>
    <x:xf numFmtId="0" fontId="32" fillId="0" borderId="18" xfId="0" applyNumberFormat="1" applyFont="1" applyFill="1" applyBorder="1" applyAlignment="1">
      <x:alignment vertical="center" wrapText="1"/>
    </x:xf>
    <x:xf numFmtId="0" fontId="34" fillId="26" borderId="44" xfId="0" applyNumberFormat="1" applyFont="1" applyFill="1" applyBorder="1" applyAlignment="1">
      <x:alignment horizontal="center" vertical="center" wrapText="1"/>
    </x:xf>
    <x:xf numFmtId="0" fontId="32" fillId="0" borderId="45" xfId="0" applyNumberFormat="1" applyFont="1" applyFill="1" applyBorder="1" applyAlignment="1">
      <x:alignment vertical="center" wrapText="1"/>
    </x:xf>
    <x:xf numFmtId="0" fontId="32" fillId="0" borderId="46" xfId="0" applyNumberFormat="1" applyFont="1" applyFill="1" applyBorder="1" applyAlignment="1">
      <x:alignment vertical="center" wrapText="1"/>
    </x:xf>
    <x:xf numFmtId="0" fontId="34" fillId="26" borderId="47" xfId="0" applyNumberFormat="1" applyFont="1" applyFill="1" applyBorder="1" applyAlignment="1">
      <x:alignment horizontal="center" vertical="center" wrapText="1"/>
    </x:xf>
    <x:xf numFmtId="0" fontId="32" fillId="0" borderId="48" xfId="0" applyNumberFormat="1" applyFont="1" applyFill="1" applyBorder="1" applyAlignment="1">
      <x:alignment vertical="center" wrapText="1"/>
    </x:xf>
    <x:xf numFmtId="0" fontId="34" fillId="26" borderId="49" xfId="0" applyNumberFormat="1" applyFont="1" applyFill="1" applyBorder="1" applyAlignment="1">
      <x:alignment horizontal="center" vertical="center" wrapText="1"/>
    </x:xf>
    <x:xf numFmtId="0" fontId="32" fillId="0" borderId="50" xfId="0" applyNumberFormat="1" applyFont="1" applyFill="1" applyBorder="1" applyAlignment="1">
      <x:alignment vertical="center" wrapText="1"/>
    </x:xf>
    <x:xf numFmtId="0" fontId="32" fillId="0" borderId="51" xfId="0" applyNumberFormat="1" applyFont="1" applyFill="1" applyBorder="1" applyAlignment="1">
      <x:alignment vertical="center" wrapText="1"/>
    </x:xf>
    <x:xf numFmtId="0" fontId="34" fillId="26" borderId="52" xfId="0" applyNumberFormat="1" applyFont="1" applyFill="1" applyBorder="1" applyAlignment="1">
      <x:alignment horizontal="center" vertical="center" wrapText="1"/>
    </x:xf>
    <x:xf numFmtId="0" fontId="32" fillId="0" borderId="53" xfId="0" applyNumberFormat="1" applyFont="1" applyFill="1" applyBorder="1" applyAlignment="1">
      <x:alignment vertical="center" wrapText="1"/>
    </x:xf>
    <x:xf numFmtId="0" fontId="32" fillId="0" borderId="54" xfId="0" applyNumberFormat="1" applyFont="1" applyFill="1" applyBorder="1" applyAlignment="1">
      <x:alignment vertical="center" wrapText="1"/>
    </x:xf>
    <x:xf numFmtId="0" fontId="34" fillId="26" borderId="55" xfId="0" applyNumberFormat="1" applyFont="1" applyFill="1" applyBorder="1" applyAlignment="1">
      <x:alignment horizontal="center" vertical="center" wrapText="1"/>
    </x:xf>
    <x:xf numFmtId="0" fontId="32" fillId="0" borderId="56" xfId="0" applyNumberFormat="1" applyFont="1" applyFill="1" applyBorder="1" applyAlignment="1">
      <x:alignment vertical="center" wrapText="1"/>
    </x:xf>
    <x:xf numFmtId="0" fontId="34" fillId="26" borderId="57" xfId="0" applyNumberFormat="1" applyFont="1" applyFill="1" applyBorder="1" applyAlignment="1">
      <x:alignment horizontal="center" vertical="center" wrapText="1"/>
    </x:xf>
    <x:xf numFmtId="0" fontId="32" fillId="0" borderId="58" xfId="0" applyNumberFormat="1" applyFont="1" applyFill="1" applyBorder="1" applyAlignment="1">
      <x:alignment vertical="center" wrapText="1"/>
    </x:xf>
    <x:xf numFmtId="0" fontId="32" fillId="0" borderId="5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15E21"/>
      </x:font>
      <x:fill>
        <x:patternFill>
          <x:bgColor rgb="FFDDEFD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9bdb474464ce5" /><Relationship Type="http://schemas.openxmlformats.org/officeDocument/2006/relationships/theme" Target="/xl/theme/theme1.xml" Id="R4224aa325e3744f2" /><Relationship Type="http://schemas.openxmlformats.org/officeDocument/2006/relationships/sharedStrings" Target="/xl/sharedStrings.xml" Id="R9a367afc2f774bd1" /><Relationship Type="http://schemas.openxmlformats.org/officeDocument/2006/relationships/worksheet" Target="/xl/worksheets/sheet1.xml" Id="R574e5f401a63443a" /><Relationship Type="http://schemas.openxmlformats.org/officeDocument/2006/relationships/worksheet" Target="/xl/worksheets/sheet2.xml" Id="R9230f42031224b84" /><Relationship Type="http://schemas.openxmlformats.org/officeDocument/2006/relationships/worksheet" Target="/xl/worksheets/sheet3.xml" Id="R0a202888dbe14bc7" /><Relationship Type="http://schemas.openxmlformats.org/officeDocument/2006/relationships/worksheet" Target="/xl/worksheets/sheet4.xml" Id="Rbcfdf5fa5ac34fd3" /><Relationship Type="http://schemas.openxmlformats.org/officeDocument/2006/relationships/worksheet" Target="/xl/worksheets/sheet5.xml" Id="R8a83228db3af48ab" /><Relationship Type="http://schemas.openxmlformats.org/officeDocument/2006/relationships/worksheet" Target="/xl/worksheets/sheet6.xml" Id="R8d89d50769aa453f" /><Relationship Type="http://schemas.openxmlformats.org/officeDocument/2006/relationships/worksheet" Target="/xl/worksheets/sheet7.xml" Id="R2e585cdbc72c4eaf" /><Relationship Type="http://schemas.openxmlformats.org/officeDocument/2006/relationships/worksheet" Target="/xl/worksheets/sheet8.xml" Id="R75540e9d3d4f49cd" /><Relationship Type="http://schemas.openxmlformats.org/officeDocument/2006/relationships/worksheet" Target="/xl/worksheets/sheet9.xml" Id="R9ed02057dde6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234375" customWidth="1"/>
    <x:col min="2" max="2" width="22.05859375" customWidth="1"/>
    <x:col min="3" max="3" width="4.9765625" customWidth="1"/>
    <x:col min="4" max="4" width="13.98828125" customWidth="1"/>
    <x:col min="5" max="9" width="18.0234375" customWidth="1"/>
    <x:col min="10" max="10" width="22.05859375" customWidth="1"/>
  </x:cols>
  <x:sheetData>
    <x:row r="1" ht="30" customHeight="1">
      <x:c r="A1" s="106" t="s">
        <x:v>0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27.950000762939453" customHeight="1">
      <x:c r="A2" s="107" t="s">
        <x:v>1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27.950000762939453" customHeight="1">
      <x:c r="A3" s="108" t="s">
        <x:v>2</x:v>
      </x:c>
      <x:c r="B3" s="108"/>
      <x:c r="C3" s="108"/>
      <x:c r="D3" s="108"/>
      <x:c r="E3" s="108"/>
      <x:c r="F3" s="108"/>
      <x:c r="G3" s="108"/>
      <x:c r="H3" s="108"/>
      <x:c r="I3" s="108"/>
      <x:c r="J3" s="108"/>
    </x:row>
    <x:row r="5">
      <x:c r="A5" s="114" t="s">
        <x:v>3</x:v>
      </x:c>
      <x:c r="B5" s="114"/>
      <x:c r="C5" s="114"/>
      <x:c r="D5" s="115" t="s">
        <x:v>4</x:v>
      </x:c>
      <x:c r="E5" s="115"/>
      <x:c r="F5" s="115" t="s">
        <x:v>5</x:v>
      </x:c>
      <x:c r="G5" s="115"/>
      <x:c r="H5" s="115" t="s">
        <x:v>6</x:v>
      </x:c>
      <x:c r="I5" s="115"/>
      <x:c r="J5" s="1" t="s">
        <x:v>7</x:v>
      </x:c>
    </x:row>
    <x:row r="6" ht="19.5">
      <x:c r="A6" s="2" t="s">
        <x:v>8</x:v>
      </x:c>
      <x:c r="B6" s="3">
        <x:v>46274</x:v>
      </x:c>
      <x:c r="C6" s="4"/>
      <x:c r="D6" s="116" t="n">
        <x:f>COUNTA('វាយតម្លៃក្រុម'!B8:B27)</x:f>
        <x:v>6</x:v>
      </x:c>
      <x:c r="E6" s="116"/>
      <x:c r="F6" s="117" t="n">
        <x:f>IF(COUNT('វាយតម្លៃក្រុម'!AM8:AM27)=0,"",AVERAGE('វាយតម្លៃក្រុម'!AM8:AM27))</x:f>
        <x:v>94.25</x:v>
      </x:c>
      <x:c r="G6" s="116"/>
      <x:c r="H6" s="116" t="n">
        <x:f>COUNTA('តាមដានការងារ'!C6:C65)</x:f>
        <x:v>43</x:v>
      </x:c>
      <x:c r="I6" s="116"/>
      <x:c r="J6" s="118" t="n">
        <x:f>IFERROR(COUNTIF('តាមដានការងារ'!K6:K65,"បានបញ្ចប់")/COUNTA('តាមដានការងារ'!C6:C65),0)</x:f>
        <x:v>0.5116279069767442</x:v>
      </x:c>
    </x:row>
    <x:row r="7" ht="19.5">
      <x:c r="A7" s="5" t="s">
        <x:v>9</x:v>
      </x:c>
      <x:c r="B7" s="6">
        <x:v>46357</x:v>
      </x:c>
      <x:c r="C7" s="7"/>
      <x:c r="D7" s="116"/>
      <x:c r="E7" s="116"/>
      <x:c r="F7" s="116"/>
      <x:c r="G7" s="116"/>
      <x:c r="H7" s="116"/>
      <x:c r="I7" s="116"/>
      <x:c r="J7" s="119"/>
    </x:row>
    <x:row r="8" ht="19.5">
      <x:c r="A8" s="5" t="s">
        <x:v>10</x:v>
      </x:c>
      <x:c r="B8" s="8" t="s">
        <x:v>11</x:v>
      </x:c>
      <x:c r="C8" s="7"/>
    </x:row>
    <x:row r="9" ht="19.5">
      <x:c r="A9" s="9" t="s">
        <x:v>12</x:v>
      </x:c>
      <x:c r="B9" s="10" t="s">
        <x:v>13</x:v>
      </x:c>
      <x:c r="C9" s="11"/>
    </x:row>
    <x:row r="11">
      <x:c r="A11" s="114" t="s">
        <x:v>14</x:v>
      </x:c>
      <x:c r="B11" s="114"/>
      <x:c r="C11" s="114"/>
      <x:c r="D11" s="114"/>
      <x:c r="E11" s="114"/>
      <x:c r="G11" s="115" t="s">
        <x:v>15</x:v>
      </x:c>
      <x:c r="H11" s="115"/>
      <x:c r="I11" s="115"/>
      <x:c r="J11" s="115"/>
    </x:row>
    <x:row r="12" ht="19.5">
      <x:c r="A12" s="12" t="s">
        <x:v>16</x:v>
      </x:c>
      <x:c r="B12" s="13" t="s">
        <x:v>17</x:v>
      </x:c>
      <x:c r="C12" s="13" t="s">
        <x:v>18</x:v>
      </x:c>
      <x:c r="D12" s="13" t="s">
        <x:v>19</x:v>
      </x:c>
      <x:c r="E12" s="14" t="s">
        <x:v>20</x:v>
      </x:c>
      <x:c r="G12" s="21" t="s">
        <x:v>21</x:v>
      </x:c>
      <x:c r="H12" s="22" t="s">
        <x:v>22</x:v>
      </x:c>
      <x:c r="I12" s="22" t="s">
        <x:v>23</x:v>
      </x:c>
      <x:c r="J12" s="23" t="s">
        <x:v>24</x:v>
      </x:c>
    </x:row>
    <x:row r="13" ht="30">
      <x:c r="A13" s="5">
        <x:v>1</x:v>
      </x:c>
      <x:c r="B13" s="8" t="s">
        <x:v>25</x:v>
      </x:c>
      <x:c r="C13" s="15">
        <x:v>0.1</x:v>
      </x:c>
      <x:c r="D13" s="19" t="s">
        <x:v>26</x:v>
      </x:c>
      <x:c r="E13" s="16" t="s">
        <x:v>27</x:v>
      </x:c>
      <x:c r="G13" s="5" t="s">
        <x:v>28</x:v>
      </x:c>
      <x:c r="H13" s="8" t="s">
        <x:v>29</x:v>
      </x:c>
      <x:c r="I13" s="8" t="s">
        <x:v>30</x:v>
      </x:c>
      <x:c r="J13" s="24" t="s">
        <x:v>31</x:v>
      </x:c>
    </x:row>
    <x:row r="14" ht="23.25">
      <x:c r="A14" s="5">
        <x:v>2</x:v>
      </x:c>
      <x:c r="B14" s="8" t="s">
        <x:v>32</x:v>
      </x:c>
      <x:c r="C14" s="15">
        <x:v>0.1</x:v>
      </x:c>
      <x:c r="D14" s="19" t="s">
        <x:v>33</x:v>
      </x:c>
      <x:c r="E14" s="16" t="s">
        <x:v>34</x:v>
      </x:c>
      <x:c r="G14" s="5" t="s">
        <x:v>35</x:v>
      </x:c>
      <x:c r="H14" s="8" t="s">
        <x:v>36</x:v>
      </x:c>
      <x:c r="I14" s="8" t="s">
        <x:v>37</x:v>
      </x:c>
      <x:c r="J14" s="24" t="s">
        <x:v>38</x:v>
      </x:c>
    </x:row>
    <x:row r="15" ht="34.5">
      <x:c r="A15" s="5">
        <x:v>3</x:v>
      </x:c>
      <x:c r="B15" s="8" t="s">
        <x:v>39</x:v>
      </x:c>
      <x:c r="C15" s="15">
        <x:v>0.25</x:v>
      </x:c>
      <x:c r="D15" s="19" t="s">
        <x:v>40</x:v>
      </x:c>
      <x:c r="E15" s="16" t="s">
        <x:v>34</x:v>
      </x:c>
      <x:c r="G15" s="5" t="s">
        <x:v>41</x:v>
      </x:c>
      <x:c r="H15" s="8" t="s">
        <x:v>42</x:v>
      </x:c>
      <x:c r="I15" s="8" t="s">
        <x:v>43</x:v>
      </x:c>
      <x:c r="J15" s="24" t="s">
        <x:v>44</x:v>
      </x:c>
    </x:row>
    <x:row r="16" ht="23.25">
      <x:c r="A16" s="5">
        <x:v>4</x:v>
      </x:c>
      <x:c r="B16" s="8" t="s">
        <x:v>45</x:v>
      </x:c>
      <x:c r="C16" s="15">
        <x:v>0.1</x:v>
      </x:c>
      <x:c r="D16" s="19" t="s">
        <x:v>40</x:v>
      </x:c>
      <x:c r="E16" s="16" t="s">
        <x:v>34</x:v>
      </x:c>
      <x:c r="G16" s="5" t="s">
        <x:v>46</x:v>
      </x:c>
      <x:c r="H16" s="8" t="s">
        <x:v>47</x:v>
      </x:c>
      <x:c r="I16" s="8" t="s">
        <x:v>48</x:v>
      </x:c>
      <x:c r="J16" s="24" t="s">
        <x:v>49</x:v>
      </x:c>
    </x:row>
    <x:row r="17" ht="23.25">
      <x:c r="A17" s="5">
        <x:v>5</x:v>
      </x:c>
      <x:c r="B17" s="8" t="s">
        <x:v>50</x:v>
      </x:c>
      <x:c r="C17" s="15">
        <x:v>0.15</x:v>
      </x:c>
      <x:c r="D17" s="19" t="s">
        <x:v>51</x:v>
      </x:c>
      <x:c r="E17" s="16" t="s">
        <x:v>34</x:v>
      </x:c>
      <x:c r="G17" s="5" t="s">
        <x:v>52</x:v>
      </x:c>
      <x:c r="H17" s="8" t="s">
        <x:v>53</x:v>
      </x:c>
      <x:c r="I17" s="8" t="s">
        <x:v>54</x:v>
      </x:c>
      <x:c r="J17" s="24" t="s">
        <x:v>55</x:v>
      </x:c>
    </x:row>
    <x:row r="18" ht="34.5">
      <x:c r="A18" s="5">
        <x:v>6</x:v>
      </x:c>
      <x:c r="B18" s="8" t="s">
        <x:v>56</x:v>
      </x:c>
      <x:c r="C18" s="15">
        <x:v>0.1</x:v>
      </x:c>
      <x:c r="D18" s="19" t="s">
        <x:v>57</x:v>
      </x:c>
      <x:c r="E18" s="16" t="s">
        <x:v>34</x:v>
      </x:c>
      <x:c r="G18" s="9" t="s">
        <x:v>58</x:v>
      </x:c>
      <x:c r="H18" s="10" t="s">
        <x:v>59</x:v>
      </x:c>
      <x:c r="I18" s="10" t="s">
        <x:v>60</x:v>
      </x:c>
      <x:c r="J18" s="25" t="s">
        <x:v>61</x:v>
      </x:c>
    </x:row>
    <x:row r="19">
      <x:c r="A19" s="5">
        <x:v>7</x:v>
      </x:c>
      <x:c r="B19" s="8" t="s">
        <x:v>62</x:v>
      </x:c>
      <x:c r="C19" s="15">
        <x:v>0.05</x:v>
      </x:c>
      <x:c r="D19" s="19" t="s">
        <x:v>63</x:v>
      </x:c>
      <x:c r="E19" s="16" t="s">
        <x:v>34</x:v>
      </x:c>
    </x:row>
    <x:row r="20">
      <x:c r="A20" s="5">
        <x:v>8</x:v>
      </x:c>
      <x:c r="B20" s="8" t="s">
        <x:v>64</x:v>
      </x:c>
      <x:c r="C20" s="15">
        <x:v>0.05</x:v>
      </x:c>
      <x:c r="D20" s="19" t="s">
        <x:v>65</x:v>
      </x:c>
      <x:c r="E20" s="16" t="s">
        <x:v>34</x:v>
      </x:c>
      <x:c r="G20" s="120" t="s">
        <x:v>66</x:v>
      </x:c>
      <x:c r="H20" s="111"/>
      <x:c r="I20" s="111"/>
      <x:c r="J20" s="121"/>
    </x:row>
    <x:row r="21" ht="19.5">
      <x:c r="A21" s="5">
        <x:v>9</x:v>
      </x:c>
      <x:c r="B21" s="8" t="s">
        <x:v>67</x:v>
      </x:c>
      <x:c r="C21" s="15">
        <x:v>0.05</x:v>
      </x:c>
      <x:c r="D21" s="19" t="s">
        <x:v>68</x:v>
      </x:c>
      <x:c r="E21" s="16" t="s">
        <x:v>34</x:v>
      </x:c>
      <x:c r="G21" s="5" t="s">
        <x:v>69</x:v>
      </x:c>
      <x:c r="H21" s="8" t="s">
        <x:v>70</x:v>
      </x:c>
      <x:c r="I21" s="8" t="s">
        <x:v>71</x:v>
      </x:c>
      <x:c r="J21" s="16" t="s">
        <x:v>72</x:v>
      </x:c>
    </x:row>
    <x:row r="22" ht="19.5">
      <x:c r="A22" s="9">
        <x:v>10</x:v>
      </x:c>
      <x:c r="B22" s="10" t="s">
        <x:v>73</x:v>
      </x:c>
      <x:c r="C22" s="17">
        <x:v>0.05</x:v>
      </x:c>
      <x:c r="D22" s="20" t="s">
        <x:v>74</x:v>
      </x:c>
      <x:c r="E22" s="18" t="s">
        <x:v>34</x:v>
      </x:c>
      <x:c r="G22" s="5" t="s">
        <x:v>75</x:v>
      </x:c>
      <x:c r="H22" s="8" t="s">
        <x:v>76</x:v>
      </x:c>
      <x:c r="I22" s="8" t="s">
        <x:v>77</x:v>
      </x:c>
      <x:c r="J22" s="16" t="s">
        <x:v>78</x:v>
      </x:c>
    </x:row>
    <x:row r="23" ht="19.5">
      <x:c r="G23" s="9" t="s">
        <x:v>79</x:v>
      </x:c>
      <x:c r="H23" s="10" t="s">
        <x:v>80</x:v>
      </x:c>
      <x:c r="I23" s="10"/>
      <x:c r="J23" s="18"/>
    </x:row>
    <x:row r="24">
      <x:c r="A24" s="122" t="s">
        <x:v>81</x:v>
      </x:c>
      <x:c r="B24" s="122"/>
      <x:c r="C24" s="122"/>
      <x:c r="D24" s="122"/>
      <x:c r="E24" s="122"/>
    </x:row>
    <x:row r="25">
      <x:c r="A25" s="114" t="s">
        <x:v>82</x:v>
      </x:c>
      <x:c r="B25" s="114"/>
      <x:c r="C25" s="114"/>
      <x:c r="D25" s="114"/>
      <x:c r="E25" s="114"/>
      <x:c r="F25" s="114"/>
      <x:c r="G25" s="114"/>
      <x:c r="H25" s="114"/>
      <x:c r="I25" s="114"/>
      <x:c r="J25" s="114"/>
    </x:row>
    <x:row r="26">
      <x:c r="A26" s="2" t="s">
        <x:v>83</x:v>
      </x:c>
      <x:c r="B26" s="123" t="s">
        <x:v>84</x:v>
      </x:c>
      <x:c r="C26" s="123"/>
      <x:c r="D26" s="123"/>
      <x:c r="E26" s="26" t="s">
        <x:v>85</x:v>
      </x:c>
      <x:c r="F26" s="26" t="s">
        <x:v>86</x:v>
      </x:c>
      <x:c r="G26" s="26" t="s">
        <x:v>87</x:v>
      </x:c>
      <x:c r="H26" s="26" t="s">
        <x:v>88</x:v>
      </x:c>
      <x:c r="I26" s="26" t="s">
        <x:v>89</x:v>
      </x:c>
      <x:c r="J26" s="27" t="s">
        <x:v>90</x:v>
      </x:c>
    </x:row>
    <x:row r="27">
      <x:c r="A27" s="9" t="s">
        <x:v>91</x:v>
      </x:c>
      <x:c r="B27" s="124" t="s">
        <x:v>92</x:v>
      </x:c>
      <x:c r="C27" s="124"/>
      <x:c r="D27" s="124"/>
      <x:c r="E27" s="10" t="s">
        <x:v>93</x:v>
      </x:c>
      <x:c r="F27" s="10">
        <x:v>6</x:v>
      </x:c>
      <x:c r="G27" s="10" t="s">
        <x:v>94</x:v>
      </x:c>
      <x:c r="H27" s="10">
        <x:v>3</x:v>
      </x:c>
      <x:c r="I27" s="10" t="s">
        <x:v>95</x:v>
      </x:c>
      <x:c r="J27" s="18">
        <x:v>3</x:v>
      </x:c>
    </x:row>
    <x:row r="29" ht="19.5">
      <x:c r="A29" s="28" t="s">
        <x:v>16</x:v>
      </x:c>
      <x:c r="B29" s="125" t="s">
        <x:v>96</x:v>
      </x:c>
      <x:c r="C29" s="125"/>
      <x:c r="D29" s="125" t="s">
        <x:v>97</x:v>
      </x:c>
      <x:c r="E29" s="125"/>
      <x:c r="F29" s="125" t="s">
        <x:v>98</x:v>
      </x:c>
      <x:c r="G29" s="125"/>
      <x:c r="H29" s="125" t="s">
        <x:v>99</x:v>
      </x:c>
      <x:c r="I29" s="125"/>
      <x:c r="J29" s="126"/>
    </x:row>
    <x:row r="30" ht="27.950000762939453" customHeight="1">
      <x:c r="A30" s="5">
        <x:v>1</x:v>
      </x:c>
      <x:c r="B30" s="127" t="s">
        <x:v>100</x:v>
      </x:c>
      <x:c r="C30" s="127"/>
      <x:c r="D30" s="128" t="s">
        <x:v>101</x:v>
      </x:c>
      <x:c r="E30" s="128"/>
      <x:c r="F30" s="127" t="s">
        <x:v>102</x:v>
      </x:c>
      <x:c r="G30" s="127"/>
      <x:c r="H30" s="127" t="s">
        <x:v>103</x:v>
      </x:c>
      <x:c r="I30" s="127"/>
      <x:c r="J30" s="129"/>
    </x:row>
    <x:row r="31" ht="27.950000762939453" customHeight="1">
      <x:c r="A31" s="5">
        <x:v>2</x:v>
      </x:c>
      <x:c r="B31" s="127" t="s">
        <x:v>104</x:v>
      </x:c>
      <x:c r="C31" s="127"/>
      <x:c r="D31" s="128" t="s">
        <x:v>105</x:v>
      </x:c>
      <x:c r="E31" s="128"/>
      <x:c r="F31" s="127" t="s">
        <x:v>106</x:v>
      </x:c>
      <x:c r="G31" s="127"/>
      <x:c r="H31" s="127" t="s">
        <x:v>107</x:v>
      </x:c>
      <x:c r="I31" s="127"/>
      <x:c r="J31" s="129"/>
    </x:row>
    <x:row r="32" ht="27.950000762939453" customHeight="1">
      <x:c r="A32" s="5">
        <x:v>3</x:v>
      </x:c>
      <x:c r="B32" s="127" t="s">
        <x:v>108</x:v>
      </x:c>
      <x:c r="C32" s="127"/>
      <x:c r="D32" s="128" t="s">
        <x:v>109</x:v>
      </x:c>
      <x:c r="E32" s="128"/>
      <x:c r="F32" s="127" t="s">
        <x:v>110</x:v>
      </x:c>
      <x:c r="G32" s="127"/>
      <x:c r="H32" s="127" t="s">
        <x:v>111</x:v>
      </x:c>
      <x:c r="I32" s="127"/>
      <x:c r="J32" s="129"/>
    </x:row>
    <x:row r="33" ht="27.950000762939453" customHeight="1">
      <x:c r="A33" s="5">
        <x:v>4</x:v>
      </x:c>
      <x:c r="B33" s="127" t="s">
        <x:v>112</x:v>
      </x:c>
      <x:c r="C33" s="127"/>
      <x:c r="D33" s="128" t="s">
        <x:v>113</x:v>
      </x:c>
      <x:c r="E33" s="128"/>
      <x:c r="F33" s="127" t="s">
        <x:v>114</x:v>
      </x:c>
      <x:c r="G33" s="127"/>
      <x:c r="H33" s="127" t="s">
        <x:v>115</x:v>
      </x:c>
      <x:c r="I33" s="127"/>
      <x:c r="J33" s="129"/>
    </x:row>
    <x:row r="34" ht="27.950000762939453" customHeight="1">
      <x:c r="A34" s="5">
        <x:v>5</x:v>
      </x:c>
      <x:c r="B34" s="127" t="s">
        <x:v>116</x:v>
      </x:c>
      <x:c r="C34" s="127"/>
      <x:c r="D34" s="128" t="s">
        <x:v>117</x:v>
      </x:c>
      <x:c r="E34" s="128"/>
      <x:c r="F34" s="127" t="s">
        <x:v>114</x:v>
      </x:c>
      <x:c r="G34" s="127"/>
      <x:c r="H34" s="127" t="s">
        <x:v>115</x:v>
      </x:c>
      <x:c r="I34" s="127"/>
      <x:c r="J34" s="129"/>
    </x:row>
    <x:row r="35" ht="27.950000762939453" customHeight="1">
      <x:c r="A35" s="9">
        <x:v>6</x:v>
      </x:c>
      <x:c r="B35" s="124" t="s">
        <x:v>118</x:v>
      </x:c>
      <x:c r="C35" s="124"/>
      <x:c r="D35" s="130" t="s">
        <x:v>119</x:v>
      </x:c>
      <x:c r="E35" s="130"/>
      <x:c r="F35" s="124" t="s">
        <x:v>106</x:v>
      </x:c>
      <x:c r="G35" s="124"/>
      <x:c r="H35" s="124" t="s">
        <x:v>115</x:v>
      </x:c>
      <x:c r="I35" s="124"/>
      <x:c r="J35" s="131"/>
    </x:row>
    <x:row r="37">
      <x:c r="A37" s="132" t="s">
        <x:v>120</x:v>
      </x:c>
      <x:c r="B37" s="132"/>
      <x:c r="C37" s="132"/>
      <x:c r="D37" s="132"/>
      <x:c r="E37" s="132"/>
      <x:c r="F37" s="132"/>
      <x:c r="G37" s="132"/>
      <x:c r="H37" s="132"/>
      <x:c r="I37" s="132"/>
      <x:c r="J37" s="132"/>
    </x:row>
    <x:row r="38">
      <x:c r="A38" s="132"/>
      <x:c r="B38" s="132"/>
      <x:c r="C38" s="132"/>
      <x:c r="D38" s="132"/>
      <x:c r="E38" s="132"/>
      <x:c r="F38" s="132"/>
      <x:c r="G38" s="132"/>
      <x:c r="H38" s="132"/>
      <x:c r="I38" s="132"/>
      <x:c r="J38" s="132"/>
    </x:row>
  </x:sheetData>
  <x:mergeCells>
    <x:mergeCell ref="B35:C35"/>
    <x:mergeCell ref="D35:E35"/>
    <x:mergeCell ref="F35:G35"/>
    <x:mergeCell ref="H35:J35"/>
    <x:mergeCell ref="A37:J38"/>
    <x:mergeCell ref="B33:C33"/>
    <x:mergeCell ref="D33:E33"/>
    <x:mergeCell ref="F33:G33"/>
    <x:mergeCell ref="H33:J33"/>
    <x:mergeCell ref="B34:C34"/>
    <x:mergeCell ref="D34:E34"/>
    <x:mergeCell ref="F34:G34"/>
    <x:mergeCell ref="H34:J34"/>
    <x:mergeCell ref="B31:C31"/>
    <x:mergeCell ref="D31:E31"/>
    <x:mergeCell ref="F31:G31"/>
    <x:mergeCell ref="H31:J31"/>
    <x:mergeCell ref="B32:C32"/>
    <x:mergeCell ref="D32:E32"/>
    <x:mergeCell ref="F32:G32"/>
    <x:mergeCell ref="H32:J32"/>
    <x:mergeCell ref="B29:C29"/>
    <x:mergeCell ref="D29:E29"/>
    <x:mergeCell ref="F29:G29"/>
    <x:mergeCell ref="H29:J29"/>
    <x:mergeCell ref="B30:C30"/>
    <x:mergeCell ref="D30:E30"/>
    <x:mergeCell ref="F30:G30"/>
    <x:mergeCell ref="H30:J30"/>
    <x:mergeCell ref="G20:J20"/>
    <x:mergeCell ref="A24:E24"/>
    <x:mergeCell ref="A25:J25"/>
    <x:mergeCell ref="B26:D26"/>
    <x:mergeCell ref="B27:D27"/>
    <x:mergeCell ref="D6:E7"/>
    <x:mergeCell ref="F6:G7"/>
    <x:mergeCell ref="H6:I7"/>
    <x:mergeCell ref="J6:J7"/>
    <x:mergeCell ref="A11:E11"/>
    <x:mergeCell ref="G11:J11"/>
    <x:mergeCell ref="A1:J1"/>
    <x:mergeCell ref="A2:J2"/>
    <x:mergeCell ref="A3:J3"/>
    <x:mergeCell ref="A5:C5"/>
    <x:mergeCell ref="D5:E5"/>
    <x:mergeCell ref="F5:G5"/>
    <x:mergeCell ref="H5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9765625" customWidth="1"/>
    <x:col min="2" max="2" width="18.0234375" customWidth="1"/>
    <x:col min="3" max="3" width="16.0078125" customWidth="1"/>
    <x:col min="4" max="4" width="18.0234375" customWidth="1"/>
    <x:col min="5" max="38" width="7.93359375" customWidth="1"/>
    <x:col min="39" max="41" width="9.953125" customWidth="1"/>
    <x:col min="42" max="42" width="27.98046875" customWidth="1"/>
  </x:cols>
  <x:sheetData>
    <x:row r="1" ht="27.950000762939453" customHeight="1">
      <x:c r="A1" s="106" t="s">
        <x:v>0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  <x:c r="R1" s="106"/>
      <x:c r="S1" s="106"/>
      <x:c r="T1" s="106"/>
      <x:c r="U1" s="106"/>
      <x:c r="V1" s="106"/>
      <x:c r="W1" s="106"/>
      <x:c r="X1" s="106"/>
      <x:c r="Y1" s="106"/>
      <x:c r="Z1" s="106"/>
      <x:c r="AA1" s="106"/>
      <x:c r="AB1" s="106"/>
      <x:c r="AC1" s="106"/>
      <x:c r="AD1" s="106"/>
      <x:c r="AE1" s="106"/>
      <x:c r="AF1" s="106"/>
      <x:c r="AG1" s="106"/>
      <x:c r="AH1" s="106"/>
      <x:c r="AI1" s="106"/>
      <x:c r="AJ1" s="106"/>
      <x:c r="AK1" s="106"/>
      <x:c r="AL1" s="106"/>
      <x:c r="AM1" s="106"/>
      <x:c r="AN1" s="106"/>
      <x:c r="AO1" s="106"/>
      <x:c r="AP1" s="106"/>
    </x:row>
    <x:row r="2">
      <x:c r="A2" s="107" t="s">
        <x:v>121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  <x:c r="Q2" s="107"/>
      <x:c r="R2" s="107"/>
      <x:c r="S2" s="107"/>
      <x:c r="T2" s="107"/>
      <x:c r="U2" s="107"/>
      <x:c r="V2" s="107"/>
      <x:c r="W2" s="107"/>
      <x:c r="X2" s="107"/>
      <x:c r="Y2" s="107"/>
      <x:c r="Z2" s="107"/>
      <x:c r="AA2" s="107"/>
      <x:c r="AB2" s="107"/>
      <x:c r="AC2" s="107"/>
      <x:c r="AD2" s="107"/>
      <x:c r="AE2" s="107"/>
      <x:c r="AF2" s="107"/>
      <x:c r="AG2" s="107"/>
      <x:c r="AH2" s="107"/>
      <x:c r="AI2" s="107"/>
      <x:c r="AJ2" s="107"/>
      <x:c r="AK2" s="107"/>
      <x:c r="AL2" s="107"/>
      <x:c r="AM2" s="107"/>
      <x:c r="AN2" s="107"/>
      <x:c r="AO2" s="107"/>
      <x:c r="AP2" s="107"/>
    </x:row>
    <x:row r="3">
      <x:c r="A3" s="108" t="s">
        <x:v>122</x:v>
      </x:c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  <x:c r="M3" s="108"/>
      <x:c r="N3" s="108"/>
      <x:c r="O3" s="108"/>
      <x:c r="P3" s="108"/>
      <x:c r="Q3" s="108"/>
      <x:c r="R3" s="108"/>
      <x:c r="S3" s="108"/>
      <x:c r="T3" s="108"/>
      <x:c r="U3" s="108"/>
      <x:c r="V3" s="108"/>
      <x:c r="W3" s="108"/>
      <x:c r="X3" s="108"/>
      <x:c r="Y3" s="108"/>
      <x:c r="Z3" s="108"/>
      <x:c r="AA3" s="108"/>
      <x:c r="AB3" s="108"/>
      <x:c r="AC3" s="108"/>
      <x:c r="AD3" s="108"/>
      <x:c r="AE3" s="108"/>
      <x:c r="AF3" s="108"/>
      <x:c r="AG3" s="108"/>
      <x:c r="AH3" s="108"/>
      <x:c r="AI3" s="108"/>
      <x:c r="AJ3" s="108"/>
      <x:c r="AK3" s="108"/>
      <x:c r="AL3" s="108"/>
      <x:c r="AM3" s="108"/>
      <x:c r="AN3" s="108"/>
      <x:c r="AO3" s="108"/>
      <x:c r="AP3" s="108"/>
    </x:row>
    <x:row r="5" ht="33.95000076293945" customHeight="1">
      <x:c r="A5" s="31" t="s">
        <x:v>16</x:v>
      </x:c>
      <x:c r="B5" s="32" t="s">
        <x:v>123</x:v>
      </x:c>
      <x:c r="C5" s="32" t="s">
        <x:v>124</x:v>
      </x:c>
      <x:c r="D5" s="32" t="s">
        <x:v>125</x:v>
      </x:c>
      <x:c r="E5" s="109" t="s">
        <x:v>126</x:v>
      </x:c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10" t="s">
        <x:v>127</x:v>
      </x:c>
      <x:c r="R5" s="110"/>
      <x:c r="S5" s="111" t="s">
        <x:v>128</x:v>
      </x:c>
      <x:c r="T5" s="111"/>
      <x:c r="U5" s="111"/>
      <x:c r="V5" s="111"/>
      <x:c r="W5" s="111"/>
      <x:c r="X5" s="111"/>
      <x:c r="Y5" s="111"/>
      <x:c r="Z5" s="111"/>
      <x:c r="AA5" s="111"/>
      <x:c r="AB5" s="111"/>
      <x:c r="AC5" s="110" t="s">
        <x:v>129</x:v>
      </x:c>
      <x:c r="AD5" s="110"/>
      <x:c r="AE5" s="110"/>
      <x:c r="AF5" s="110"/>
      <x:c r="AG5" s="110"/>
      <x:c r="AH5" s="110"/>
      <x:c r="AI5" s="110"/>
      <x:c r="AJ5" s="110"/>
      <x:c r="AK5" s="110"/>
      <x:c r="AL5" s="110"/>
      <x:c r="AM5" s="112" t="s">
        <x:v>130</x:v>
      </x:c>
      <x:c r="AN5" s="112"/>
      <x:c r="AO5" s="112"/>
      <x:c r="AP5" s="113"/>
    </x:row>
    <x:row r="6" ht="33.95000076293945" customHeight="1">
      <x:c r="A6" s="33"/>
      <x:c r="B6" s="34"/>
      <x:c r="C6" s="34"/>
      <x:c r="D6" s="34"/>
      <x:c r="E6" s="35" t="s">
        <x:v>131</x:v>
      </x:c>
      <x:c r="F6" s="35" t="s">
        <x:v>132</x:v>
      </x:c>
      <x:c r="G6" s="35" t="s">
        <x:v>133</x:v>
      </x:c>
      <x:c r="H6" s="35" t="s">
        <x:v>134</x:v>
      </x:c>
      <x:c r="I6" s="35" t="s">
        <x:v>135</x:v>
      </x:c>
      <x:c r="J6" s="35" t="s">
        <x:v>136</x:v>
      </x:c>
      <x:c r="K6" s="35" t="s">
        <x:v>137</x:v>
      </x:c>
      <x:c r="L6" s="35" t="s">
        <x:v>138</x:v>
      </x:c>
      <x:c r="M6" s="35" t="s">
        <x:v>139</x:v>
      </x:c>
      <x:c r="N6" s="35" t="s">
        <x:v>140</x:v>
      </x:c>
      <x:c r="O6" s="35" t="s">
        <x:v>141</x:v>
      </x:c>
      <x:c r="P6" s="35" t="s">
        <x:v>142</x:v>
      </x:c>
      <x:c r="Q6" s="36" t="s">
        <x:v>143</x:v>
      </x:c>
      <x:c r="R6" s="36" t="s">
        <x:v>144</x:v>
      </x:c>
      <x:c r="S6" s="37" t="s">
        <x:v>25</x:v>
      </x:c>
      <x:c r="T6" s="37" t="s">
        <x:v>145</x:v>
      </x:c>
      <x:c r="U6" s="37" t="s">
        <x:v>146</x:v>
      </x:c>
      <x:c r="V6" s="37" t="s">
        <x:v>147</x:v>
      </x:c>
      <x:c r="W6" s="37" t="s">
        <x:v>148</x:v>
      </x:c>
      <x:c r="X6" s="37" t="s">
        <x:v>149</x:v>
      </x:c>
      <x:c r="Y6" s="37" t="s">
        <x:v>150</x:v>
      </x:c>
      <x:c r="Z6" s="37" t="s">
        <x:v>151</x:v>
      </x:c>
      <x:c r="AA6" s="37" t="s">
        <x:v>152</x:v>
      </x:c>
      <x:c r="AB6" s="37" t="s">
        <x:v>153</x:v>
      </x:c>
      <x:c r="AC6" s="36" t="s">
        <x:v>25</x:v>
      </x:c>
      <x:c r="AD6" s="36" t="s">
        <x:v>145</x:v>
      </x:c>
      <x:c r="AE6" s="36" t="s">
        <x:v>146</x:v>
      </x:c>
      <x:c r="AF6" s="36" t="s">
        <x:v>147</x:v>
      </x:c>
      <x:c r="AG6" s="36" t="s">
        <x:v>148</x:v>
      </x:c>
      <x:c r="AH6" s="36" t="s">
        <x:v>149</x:v>
      </x:c>
      <x:c r="AI6" s="36" t="s">
        <x:v>150</x:v>
      </x:c>
      <x:c r="AJ6" s="36" t="s">
        <x:v>151</x:v>
      </x:c>
      <x:c r="AK6" s="36" t="s">
        <x:v>152</x:v>
      </x:c>
      <x:c r="AL6" s="36" t="s">
        <x:v>153</x:v>
      </x:c>
      <x:c r="AM6" s="38" t="s">
        <x:v>154</x:v>
      </x:c>
      <x:c r="AN6" s="38" t="s">
        <x:v>155</x:v>
      </x:c>
      <x:c r="AO6" s="38" t="s">
        <x:v>156</x:v>
      </x:c>
      <x:c r="AP6" s="39" t="s">
        <x:v>20</x:v>
      </x:c>
    </x:row>
    <x:row r="7" ht="33.95000076293945" customHeight="1">
      <x:c r="A7" s="33"/>
      <x:c r="B7" s="34"/>
      <x:c r="C7" s="34"/>
      <x:c r="D7" s="34"/>
      <x:c r="E7" s="35" t="s">
        <x:v>157</x:v>
      </x:c>
      <x:c r="F7" s="35" t="s">
        <x:v>158</x:v>
      </x:c>
      <x:c r="G7" s="35" t="s">
        <x:v>159</x:v>
      </x:c>
      <x:c r="H7" s="35" t="s">
        <x:v>160</x:v>
      </x:c>
      <x:c r="I7" s="35" t="s">
        <x:v>161</x:v>
      </x:c>
      <x:c r="J7" s="35" t="s">
        <x:v>162</x:v>
      </x:c>
      <x:c r="K7" s="35" t="s">
        <x:v>163</x:v>
      </x:c>
      <x:c r="L7" s="35" t="s">
        <x:v>164</x:v>
      </x:c>
      <x:c r="M7" s="35" t="s">
        <x:v>165</x:v>
      </x:c>
      <x:c r="N7" s="35" t="s">
        <x:v>166</x:v>
      </x:c>
      <x:c r="O7" s="35" t="s">
        <x:v>167</x:v>
      </x:c>
      <x:c r="P7" s="35" t="s">
        <x:v>168</x:v>
      </x:c>
      <x:c r="Q7" s="36"/>
      <x:c r="R7" s="36"/>
      <x:c r="S7" s="37" t="s">
        <x:v>169</x:v>
      </x:c>
      <x:c r="T7" s="37" t="s">
        <x:v>169</x:v>
      </x:c>
      <x:c r="U7" s="37" t="s">
        <x:v>170</x:v>
      </x:c>
      <x:c r="V7" s="37" t="s">
        <x:v>169</x:v>
      </x:c>
      <x:c r="W7" s="37" t="s">
        <x:v>171</x:v>
      </x:c>
      <x:c r="X7" s="37" t="s">
        <x:v>169</x:v>
      </x:c>
      <x:c r="Y7" s="37" t="s">
        <x:v>172</x:v>
      </x:c>
      <x:c r="Z7" s="37" t="s">
        <x:v>172</x:v>
      </x:c>
      <x:c r="AA7" s="37" t="s">
        <x:v>172</x:v>
      </x:c>
      <x:c r="AB7" s="37" t="s">
        <x:v>172</x:v>
      </x:c>
      <x:c r="AC7" s="36" t="s">
        <x:v>169</x:v>
      </x:c>
      <x:c r="AD7" s="36" t="s">
        <x:v>169</x:v>
      </x:c>
      <x:c r="AE7" s="36" t="s">
        <x:v>170</x:v>
      </x:c>
      <x:c r="AF7" s="36" t="s">
        <x:v>169</x:v>
      </x:c>
      <x:c r="AG7" s="36" t="s">
        <x:v>171</x:v>
      </x:c>
      <x:c r="AH7" s="36" t="s">
        <x:v>169</x:v>
      </x:c>
      <x:c r="AI7" s="36" t="s">
        <x:v>172</x:v>
      </x:c>
      <x:c r="AJ7" s="36" t="s">
        <x:v>172</x:v>
      </x:c>
      <x:c r="AK7" s="36" t="s">
        <x:v>172</x:v>
      </x:c>
      <x:c r="AL7" s="36" t="s">
        <x:v>172</x:v>
      </x:c>
      <x:c r="AM7" s="38"/>
      <x:c r="AN7" s="38"/>
      <x:c r="AO7" s="38"/>
      <x:c r="AP7" s="39"/>
    </x:row>
    <x:row r="8" ht="30" customHeight="1">
      <x:c r="A8" s="40">
        <x:v>1</x:v>
      </x:c>
      <x:c r="B8" s="41" t="s">
        <x:v>100</x:v>
      </x:c>
      <x:c r="C8" s="42" t="s">
        <x:v>173</x:v>
      </x:c>
      <x:c r="D8" s="41" t="s">
        <x:v>102</x:v>
      </x:c>
      <x:c r="E8" s="43">
        <x:v>1</x:v>
      </x:c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4" t="n">
        <x:f>IF(B8="","",IF(COUNTA(E8:P8)=0,"",COUNTIF(E8:P8,"1")))</x:f>
        <x:v>1</x:v>
      </x:c>
      <x:c r="R8" s="44" t="n">
        <x:f>IF(B8="","",IF(COUNTA(E8:P8)=0,"",IF((COUNTIF(E8:P8,"1")+COUNTIF(E8:P8,"L")+COUNTIF(E8:P8,"A"))=0,100,ROUND((COUNTIF(E8:P8,"1")+0.5*COUNTIF(E8:P8,"L"))/(COUNTIF(E8:P8,"1")+COUNTIF(E8:P8,"L")+COUNTIF(E8:P8,"A"))*100,0))))</x:f>
        <x:v>100</x:v>
      </x:c>
      <x:c r="S8" s="45" t="n">
        <x:f>IF(B8="","",R8)</x:f>
        <x:v>100</x:v>
      </x:c>
      <x:c r="T8" s="45">
        <x:v>90</x:v>
      </x:c>
      <x:c r="U8" s="45">
        <x:v>95</x:v>
      </x:c>
      <x:c r="V8" s="45">
        <x:v>90</x:v>
      </x:c>
      <x:c r="W8" s="45">
        <x:v>95</x:v>
      </x:c>
      <x:c r="X8" s="45">
        <x:v>100</x:v>
      </x:c>
      <x:c r="Y8" s="45">
        <x:v>95</x:v>
      </x:c>
      <x:c r="Z8" s="45">
        <x:v>85</x:v>
      </x:c>
      <x:c r="AA8" s="45">
        <x:v>95</x:v>
      </x:c>
      <x:c r="AB8" s="45">
        <x:v>90</x:v>
      </x:c>
      <x:c r="AC8" s="44" t="n">
        <x:f>IF(S8="","",ROUND(S8*0.1,2))</x:f>
        <x:v>10</x:v>
      </x:c>
      <x:c r="AD8" s="44" t="n">
        <x:f>IF(T8="","",ROUND(T8*0.1,2))</x:f>
        <x:v>9</x:v>
      </x:c>
      <x:c r="AE8" s="44" t="n">
        <x:f>IF(U8="","",ROUND(U8*0.25,2))</x:f>
        <x:v>23.75</x:v>
      </x:c>
      <x:c r="AF8" s="44" t="n">
        <x:f>IF(V8="","",ROUND(V8*0.1,2))</x:f>
        <x:v>9</x:v>
      </x:c>
      <x:c r="AG8" s="44" t="n">
        <x:f>IF(W8="","",ROUND(W8*0.15,2))</x:f>
        <x:v>14.25</x:v>
      </x:c>
      <x:c r="AH8" s="44" t="n">
        <x:f>IF(X8="","",ROUND(X8*0.1,2))</x:f>
        <x:v>10</x:v>
      </x:c>
      <x:c r="AI8" s="44" t="n">
        <x:f>IF(Y8="","",ROUND(Y8*0.05,2))</x:f>
        <x:v>4.75</x:v>
      </x:c>
      <x:c r="AJ8" s="44" t="n">
        <x:f>IF(Z8="","",ROUND(Z8*0.05,2))</x:f>
        <x:v>4.25</x:v>
      </x:c>
      <x:c r="AK8" s="44" t="n">
        <x:f>IF(AA8="","",ROUND(AA8*0.05,2))</x:f>
        <x:v>4.75</x:v>
      </x:c>
      <x:c r="AL8" s="44" t="n">
        <x:f>IF(AB8="","",ROUND(AB8*0.05,2))</x:f>
        <x:v>4.5</x:v>
      </x:c>
      <x:c r="AM8" s="46" t="n">
        <x:f>IF(B8="","",IF(COUNT(S8:AB8)&lt;10,"",ROUND(SUM(AC8:AL8),2)))</x:f>
        <x:v>94.25</x:v>
      </x:c>
      <x:c r="AN8" s="44" t="str">
        <x:f>IF(AM8="","",IF(AM8&gt;=90,"ល្អប្រសើរ",IF(AM8&gt;=80,"ល្អ",IF(AM8&gt;=70,"មធ្យមល្អ",IF(AM8&gt;=60,"មធ្យម","ត្រូវកែលម្អ")))))</x:f>
        <x:v>ល្អប្រសើរ</x:v>
      </x:c>
      <x:c r="AO8" s="44" t="n">
        <x:f>IF(AM8="","",1+COUNTIF($AM$8:$AM$27,"&gt;"&amp;AM8))</x:f>
        <x:v>1</x:v>
      </x:c>
      <x:c r="AP8" s="47" t="s">
        <x:v>174</x:v>
      </x:c>
    </x:row>
    <x:row r="9" ht="30" customHeight="1">
      <x:c r="A9" s="40">
        <x:v>2</x:v>
      </x:c>
      <x:c r="B9" s="41" t="s">
        <x:v>104</x:v>
      </x:c>
      <x:c r="C9" s="42" t="s">
        <x:v>175</x:v>
      </x:c>
      <x:c r="D9" s="41" t="s">
        <x:v>106</x:v>
      </x:c>
      <x:c r="E9" s="43">
        <x:v>1</x:v>
      </x:c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4" t="n">
        <x:f>IF(B9="","",IF(COUNTA(E9:P9)=0,"",COUNTIF(E9:P9,"1")))</x:f>
        <x:v>1</x:v>
      </x:c>
      <x:c r="R9" s="44" t="n">
        <x:f>IF(B9="","",IF(COUNTA(E9:P9)=0,"",IF((COUNTIF(E9:P9,"1")+COUNTIF(E9:P9,"L")+COUNTIF(E9:P9,"A"))=0,100,ROUND((COUNTIF(E9:P9,"1")+0.5*COUNTIF(E9:P9,"L"))/(COUNTIF(E9:P9,"1")+COUNTIF(E9:P9,"L")+COUNTIF(E9:P9,"A"))*100,0))))</x:f>
        <x:v>100</x:v>
      </x:c>
      <x:c r="S9" s="45" t="n">
        <x:f>IF(B9="","",R9)</x:f>
        <x:v>100</x:v>
      </x:c>
      <x:c r="T9" s="45"/>
      <x:c r="U9" s="45">
        <x:v>100</x:v>
      </x:c>
      <x:c r="V9" s="45">
        <x:v>100</x:v>
      </x:c>
      <x:c r="W9" s="45"/>
      <x:c r="X9" s="45">
        <x:v>100</x:v>
      </x:c>
      <x:c r="Y9" s="45"/>
      <x:c r="Z9" s="45"/>
      <x:c r="AA9" s="45"/>
      <x:c r="AB9" s="45"/>
      <x:c r="AC9" s="44" t="n">
        <x:f>IF(S9="","",ROUND(S9*0.1,2))</x:f>
        <x:v>10</x:v>
      </x:c>
      <x:c r="AD9" s="44" t="str">
        <x:f>IF(T9="","",ROUND(T9*0.1,2))</x:f>
      </x:c>
      <x:c r="AE9" s="44" t="n">
        <x:f>IF(U9="","",ROUND(U9*0.25,2))</x:f>
        <x:v>25</x:v>
      </x:c>
      <x:c r="AF9" s="44" t="n">
        <x:f>IF(V9="","",ROUND(V9*0.1,2))</x:f>
        <x:v>10</x:v>
      </x:c>
      <x:c r="AG9" s="44" t="str">
        <x:f>IF(W9="","",ROUND(W9*0.15,2))</x:f>
      </x:c>
      <x:c r="AH9" s="44" t="n">
        <x:f>IF(X9="","",ROUND(X9*0.1,2))</x:f>
        <x:v>10</x:v>
      </x:c>
      <x:c r="AI9" s="44" t="str">
        <x:f>IF(Y9="","",ROUND(Y9*0.05,2))</x:f>
      </x:c>
      <x:c r="AJ9" s="44" t="str">
        <x:f>IF(Z9="","",ROUND(Z9*0.05,2))</x:f>
      </x:c>
      <x:c r="AK9" s="44" t="str">
        <x:f>IF(AA9="","",ROUND(AA9*0.05,2))</x:f>
      </x:c>
      <x:c r="AL9" s="44" t="str">
        <x:f>IF(AB9="","",ROUND(AB9*0.05,2))</x:f>
      </x:c>
      <x:c r="AM9" s="46" t="str">
        <x:f>IF(B9="","",IF(COUNT(S9:AB9)&lt;10,"",ROUND(SUM(AC9:AL9),2)))</x:f>
      </x:c>
      <x:c r="AN9" s="44" t="str">
        <x:f>IF(AM9="","",IF(AM9&gt;=90,"ល្អប្រសើរ",IF(AM9&gt;=80,"ល្អ",IF(AM9&gt;=70,"មធ្យមល្អ",IF(AM9&gt;=60,"មធ្យម","ត្រូវកែលម្អ")))))</x:f>
      </x:c>
      <x:c r="AO9" s="44" t="str">
        <x:f>IF(AM9="","",1+COUNTIF($AM$8:$AM$27,"&gt;"&amp;AM9))</x:f>
      </x:c>
      <x:c r="AP9" s="47" t="s">
        <x:v>176</x:v>
      </x:c>
    </x:row>
    <x:row r="10" ht="30" customHeight="1">
      <x:c r="A10" s="40">
        <x:v>3</x:v>
      </x:c>
      <x:c r="B10" s="41" t="s">
        <x:v>108</x:v>
      </x:c>
      <x:c r="C10" s="42" t="s">
        <x:v>177</x:v>
      </x:c>
      <x:c r="D10" s="41" t="s">
        <x:v>110</x:v>
      </x:c>
      <x:c r="E10" s="43" t="s">
        <x:v>178</x:v>
      </x:c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4" t="n">
        <x:f>IF(B10="","",IF(COUNTA(E10:P10)=0,"",COUNTIF(E10:P10,"1")))</x:f>
        <x:v>0</x:v>
      </x:c>
      <x:c r="R10" s="44" t="n">
        <x:f>IF(B10="","",IF(COUNTA(E10:P10)=0,"",IF((COUNTIF(E10:P10,"1")+COUNTIF(E10:P10,"L")+COUNTIF(E10:P10,"A"))=0,100,ROUND((COUNTIF(E10:P10,"1")+0.5*COUNTIF(E10:P10,"L"))/(COUNTIF(E10:P10,"1")+COUNTIF(E10:P10,"L")+COUNTIF(E10:P10,"A"))*100,0))))</x:f>
        <x:v>0</x:v>
      </x:c>
      <x:c r="S10" s="45" t="n">
        <x:f>IF(B10="","",R10)</x:f>
        <x:v>0</x:v>
      </x:c>
      <x:c r="T10" s="45"/>
      <x:c r="U10" s="45">
        <x:v>0</x:v>
      </x:c>
      <x:c r="V10" s="45"/>
      <x:c r="W10" s="45"/>
      <x:c r="X10" s="45"/>
      <x:c r="Y10" s="45"/>
      <x:c r="Z10" s="45"/>
      <x:c r="AA10" s="45"/>
      <x:c r="AB10" s="45"/>
      <x:c r="AC10" s="44" t="str">
        <x:f>IF(S10="","",ROUND(S10*0.1,2))</x:f>
      </x:c>
      <x:c r="AD10" s="44" t="str">
        <x:f>IF(T10="","",ROUND(T10*0.1,2))</x:f>
      </x:c>
      <x:c r="AE10" s="44" t="str">
        <x:f>IF(U10="","",ROUND(U10*0.25,2))</x:f>
      </x:c>
      <x:c r="AF10" s="44" t="str">
        <x:f>IF(V10="","",ROUND(V10*0.1,2))</x:f>
      </x:c>
      <x:c r="AG10" s="44" t="str">
        <x:f>IF(W10="","",ROUND(W10*0.15,2))</x:f>
      </x:c>
      <x:c r="AH10" s="44" t="str">
        <x:f>IF(X10="","",ROUND(X10*0.1,2))</x:f>
      </x:c>
      <x:c r="AI10" s="44" t="str">
        <x:f>IF(Y10="","",ROUND(Y10*0.05,2))</x:f>
      </x:c>
      <x:c r="AJ10" s="44" t="str">
        <x:f>IF(Z10="","",ROUND(Z10*0.05,2))</x:f>
      </x:c>
      <x:c r="AK10" s="44" t="str">
        <x:f>IF(AA10="","",ROUND(AA10*0.05,2))</x:f>
      </x:c>
      <x:c r="AL10" s="44" t="str">
        <x:f>IF(AB10="","",ROUND(AB10*0.05,2))</x:f>
      </x:c>
      <x:c r="AM10" s="46" t="str">
        <x:f>IF(B10="","",IF(COUNT(S10:AB10)&lt;10,"",ROUND(SUM(AC10:AL10),2)))</x:f>
      </x:c>
      <x:c r="AN10" s="44" t="str">
        <x:f>IF(AM10="","",IF(AM10&gt;=90,"ល្អប្រសើរ",IF(AM10&gt;=80,"ល្អ",IF(AM10&gt;=70,"មធ្យមល្អ",IF(AM10&gt;=60,"មធ្យម","ត្រូវកែលម្អ")))))</x:f>
      </x:c>
      <x:c r="AO10" s="44" t="str">
        <x:f>IF(AM10="","",1+COUNTIF($AM$8:$AM$27,"&gt;"&amp;AM10))</x:f>
      </x:c>
      <x:c r="AP10" s="47" t="s">
        <x:v>179</x:v>
      </x:c>
    </x:row>
    <x:row r="11" ht="30" customHeight="1">
      <x:c r="A11" s="40">
        <x:v>4</x:v>
      </x:c>
      <x:c r="B11" s="41" t="s">
        <x:v>112</x:v>
      </x:c>
      <x:c r="C11" s="42" t="s">
        <x:v>113</x:v>
      </x:c>
      <x:c r="D11" s="41" t="s">
        <x:v>114</x:v>
      </x:c>
      <x:c r="E11" s="43" t="s">
        <x:v>178</x:v>
      </x:c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4" t="n">
        <x:f>IF(B11="","",IF(COUNTA(E11:P11)=0,"",COUNTIF(E11:P11,"1")))</x:f>
        <x:v>0</x:v>
      </x:c>
      <x:c r="R11" s="44" t="n">
        <x:f>IF(B11="","",IF(COUNTA(E11:P11)=0,"",IF((COUNTIF(E11:P11,"1")+COUNTIF(E11:P11,"L")+COUNTIF(E11:P11,"A"))=0,100,ROUND((COUNTIF(E11:P11,"1")+0.5*COUNTIF(E11:P11,"L"))/(COUNTIF(E11:P11,"1")+COUNTIF(E11:P11,"L")+COUNTIF(E11:P11,"A"))*100,0))))</x:f>
        <x:v>0</x:v>
      </x:c>
      <x:c r="S11" s="45" t="n">
        <x:f>IF(B11="","",R11)</x:f>
        <x:v>0</x:v>
      </x:c>
      <x:c r="T11" s="45"/>
      <x:c r="U11" s="45">
        <x:v>0</x:v>
      </x:c>
      <x:c r="V11" s="45"/>
      <x:c r="W11" s="45"/>
      <x:c r="X11" s="45"/>
      <x:c r="Y11" s="45"/>
      <x:c r="Z11" s="45"/>
      <x:c r="AA11" s="45"/>
      <x:c r="AB11" s="45"/>
      <x:c r="AC11" s="44" t="str">
        <x:f>IF(S11="","",ROUND(S11*0.1,2))</x:f>
      </x:c>
      <x:c r="AD11" s="44" t="str">
        <x:f>IF(T11="","",ROUND(T11*0.1,2))</x:f>
      </x:c>
      <x:c r="AE11" s="44" t="str">
        <x:f>IF(U11="","",ROUND(U11*0.25,2))</x:f>
      </x:c>
      <x:c r="AF11" s="44" t="str">
        <x:f>IF(V11="","",ROUND(V11*0.1,2))</x:f>
      </x:c>
      <x:c r="AG11" s="44" t="str">
        <x:f>IF(W11="","",ROUND(W11*0.15,2))</x:f>
      </x:c>
      <x:c r="AH11" s="44" t="str">
        <x:f>IF(X11="","",ROUND(X11*0.1,2))</x:f>
      </x:c>
      <x:c r="AI11" s="44" t="str">
        <x:f>IF(Y11="","",ROUND(Y11*0.05,2))</x:f>
      </x:c>
      <x:c r="AJ11" s="44" t="str">
        <x:f>IF(Z11="","",ROUND(Z11*0.05,2))</x:f>
      </x:c>
      <x:c r="AK11" s="44" t="str">
        <x:f>IF(AA11="","",ROUND(AA11*0.05,2))</x:f>
      </x:c>
      <x:c r="AL11" s="44" t="str">
        <x:f>IF(AB11="","",ROUND(AB11*0.05,2))</x:f>
      </x:c>
      <x:c r="AM11" s="46" t="str">
        <x:f>IF(B11="","",IF(COUNT(S11:AB11)&lt;10,"",ROUND(SUM(AC11:AL11),2)))</x:f>
      </x:c>
      <x:c r="AN11" s="44" t="str">
        <x:f>IF(AM11="","",IF(AM11&gt;=90,"ល្អប្រសើរ",IF(AM11&gt;=80,"ល្អ",IF(AM11&gt;=70,"មធ្យមល្អ",IF(AM11&gt;=60,"មធ្យម","ត្រូវកែលម្អ")))))</x:f>
      </x:c>
      <x:c r="AO11" s="44" t="str">
        <x:f>IF(AM11="","",1+COUNTIF($AM$8:$AM$27,"&gt;"&amp;AM11))</x:f>
      </x:c>
      <x:c r="AP11" s="47" t="s">
        <x:v>180</x:v>
      </x:c>
    </x:row>
    <x:row r="12" ht="30" customHeight="1">
      <x:c r="A12" s="40">
        <x:v>5</x:v>
      </x:c>
      <x:c r="B12" s="41" t="s">
        <x:v>116</x:v>
      </x:c>
      <x:c r="C12" s="42" t="s">
        <x:v>117</x:v>
      </x:c>
      <x:c r="D12" s="41" t="s">
        <x:v>114</x:v>
      </x:c>
      <x:c r="E12" s="43">
        <x:v>1</x:v>
      </x:c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4" t="n">
        <x:f>IF(B12="","",IF(COUNTA(E12:P12)=0,"",COUNTIF(E12:P12,"1")))</x:f>
        <x:v>1</x:v>
      </x:c>
      <x:c r="R12" s="44" t="n">
        <x:f>IF(B12="","",IF(COUNTA(E12:P12)=0,"",IF((COUNTIF(E12:P12,"1")+COUNTIF(E12:P12,"L")+COUNTIF(E12:P12,"A"))=0,100,ROUND((COUNTIF(E12:P12,"1")+0.5*COUNTIF(E12:P12,"L"))/(COUNTIF(E12:P12,"1")+COUNTIF(E12:P12,"L")+COUNTIF(E12:P12,"A"))*100,0))))</x:f>
        <x:v>100</x:v>
      </x:c>
      <x:c r="S12" s="45" t="n">
        <x:f>IF(B12="","",R12)</x:f>
        <x:v>100</x:v>
      </x:c>
      <x:c r="T12" s="45"/>
      <x:c r="U12" s="45">
        <x:v>100</x:v>
      </x:c>
      <x:c r="V12" s="45">
        <x:v>100</x:v>
      </x:c>
      <x:c r="W12" s="45"/>
      <x:c r="X12" s="45">
        <x:v>100</x:v>
      </x:c>
      <x:c r="Y12" s="45"/>
      <x:c r="Z12" s="45"/>
      <x:c r="AA12" s="45"/>
      <x:c r="AB12" s="45"/>
      <x:c r="AC12" s="44" t="n">
        <x:f>IF(S12="","",ROUND(S12*0.1,2))</x:f>
        <x:v>10</x:v>
      </x:c>
      <x:c r="AD12" s="44" t="str">
        <x:f>IF(T12="","",ROUND(T12*0.1,2))</x:f>
      </x:c>
      <x:c r="AE12" s="44" t="n">
        <x:f>IF(U12="","",ROUND(U12*0.25,2))</x:f>
        <x:v>25</x:v>
      </x:c>
      <x:c r="AF12" s="44" t="n">
        <x:f>IF(V12="","",ROUND(V12*0.1,2))</x:f>
        <x:v>10</x:v>
      </x:c>
      <x:c r="AG12" s="44" t="str">
        <x:f>IF(W12="","",ROUND(W12*0.15,2))</x:f>
      </x:c>
      <x:c r="AH12" s="44" t="n">
        <x:f>IF(X12="","",ROUND(X12*0.1,2))</x:f>
        <x:v>10</x:v>
      </x:c>
      <x:c r="AI12" s="44" t="str">
        <x:f>IF(Y12="","",ROUND(Y12*0.05,2))</x:f>
      </x:c>
      <x:c r="AJ12" s="44" t="str">
        <x:f>IF(Z12="","",ROUND(Z12*0.05,2))</x:f>
      </x:c>
      <x:c r="AK12" s="44" t="str">
        <x:f>IF(AA12="","",ROUND(AA12*0.05,2))</x:f>
      </x:c>
      <x:c r="AL12" s="44" t="str">
        <x:f>IF(AB12="","",ROUND(AB12*0.05,2))</x:f>
      </x:c>
      <x:c r="AM12" s="46" t="str">
        <x:f>IF(B12="","",IF(COUNT(S12:AB12)&lt;10,"",ROUND(SUM(AC12:AL12),2)))</x:f>
      </x:c>
      <x:c r="AN12" s="44" t="str">
        <x:f>IF(AM12="","",IF(AM12&gt;=90,"ល្អប្រសើរ",IF(AM12&gt;=80,"ល្អ",IF(AM12&gt;=70,"មធ្យមល្អ",IF(AM12&gt;=60,"មធ្យម","ត្រូវកែលម្អ")))))</x:f>
      </x:c>
      <x:c r="AO12" s="44" t="str">
        <x:f>IF(AM12="","",1+COUNTIF($AM$8:$AM$27,"&gt;"&amp;AM12))</x:f>
      </x:c>
      <x:c r="AP12" s="47" t="s">
        <x:v>181</x:v>
      </x:c>
    </x:row>
    <x:row r="13" ht="30" customHeight="1">
      <x:c r="A13" s="40">
        <x:v>6</x:v>
      </x:c>
      <x:c r="B13" s="41" t="s">
        <x:v>118</x:v>
      </x:c>
      <x:c r="C13" s="42" t="s">
        <x:v>119</x:v>
      </x:c>
      <x:c r="D13" s="41" t="s">
        <x:v>106</x:v>
      </x:c>
      <x:c r="E13" s="43">
        <x:v>1</x:v>
      </x:c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4" t="n">
        <x:f>IF(B13="","",IF(COUNTA(E13:P13)=0,"",COUNTIF(E13:P13,"1")))</x:f>
        <x:v>1</x:v>
      </x:c>
      <x:c r="R13" s="44" t="n">
        <x:f>IF(B13="","",IF(COUNTA(E13:P13)=0,"",IF((COUNTIF(E13:P13,"1")+COUNTIF(E13:P13,"L")+COUNTIF(E13:P13,"A"))=0,100,ROUND((COUNTIF(E13:P13,"1")+0.5*COUNTIF(E13:P13,"L"))/(COUNTIF(E13:P13,"1")+COUNTIF(E13:P13,"L")+COUNTIF(E13:P13,"A"))*100,0))))</x:f>
        <x:v>100</x:v>
      </x:c>
      <x:c r="S13" s="45" t="n">
        <x:f>IF(B13="","",R13)</x:f>
        <x:v>100</x:v>
      </x:c>
      <x:c r="T13" s="45"/>
      <x:c r="U13" s="45">
        <x:v>100</x:v>
      </x:c>
      <x:c r="V13" s="45">
        <x:v>100</x:v>
      </x:c>
      <x:c r="W13" s="45"/>
      <x:c r="X13" s="45"/>
      <x:c r="Y13" s="45"/>
      <x:c r="Z13" s="45"/>
      <x:c r="AA13" s="45"/>
      <x:c r="AB13" s="45"/>
      <x:c r="AC13" s="44" t="n">
        <x:f>IF(S13="","",ROUND(S13*0.1,2))</x:f>
        <x:v>10</x:v>
      </x:c>
      <x:c r="AD13" s="44" t="str">
        <x:f>IF(T13="","",ROUND(T13*0.1,2))</x:f>
      </x:c>
      <x:c r="AE13" s="44" t="n">
        <x:f>IF(U13="","",ROUND(U13*0.25,2))</x:f>
        <x:v>25</x:v>
      </x:c>
      <x:c r="AF13" s="44" t="n">
        <x:f>IF(V13="","",ROUND(V13*0.1,2))</x:f>
        <x:v>10</x:v>
      </x:c>
      <x:c r="AG13" s="44" t="str">
        <x:f>IF(W13="","",ROUND(W13*0.15,2))</x:f>
      </x:c>
      <x:c r="AH13" s="44" t="str">
        <x:f>IF(X13="","",ROUND(X13*0.1,2))</x:f>
      </x:c>
      <x:c r="AI13" s="44" t="str">
        <x:f>IF(Y13="","",ROUND(Y13*0.05,2))</x:f>
      </x:c>
      <x:c r="AJ13" s="44" t="str">
        <x:f>IF(Z13="","",ROUND(Z13*0.05,2))</x:f>
      </x:c>
      <x:c r="AK13" s="44" t="str">
        <x:f>IF(AA13="","",ROUND(AA13*0.05,2))</x:f>
      </x:c>
      <x:c r="AL13" s="44" t="str">
        <x:f>IF(AB13="","",ROUND(AB13*0.05,2))</x:f>
      </x:c>
      <x:c r="AM13" s="46" t="str">
        <x:f>IF(B13="","",IF(COUNT(S13:AB13)&lt;10,"",ROUND(SUM(AC13:AL13),2)))</x:f>
      </x:c>
      <x:c r="AN13" s="44" t="str">
        <x:f>IF(AM13="","",IF(AM13&gt;=90,"ល្អប្រសើរ",IF(AM13&gt;=80,"ល្អ",IF(AM13&gt;=70,"មធ្យមល្អ",IF(AM13&gt;=60,"មធ្យម","ត្រូវកែលម្អ")))))</x:f>
      </x:c>
      <x:c r="AO13" s="44" t="str">
        <x:f>IF(AM13="","",1+COUNTIF($AM$8:$AM$27,"&gt;"&amp;AM13))</x:f>
      </x:c>
      <x:c r="AP13" s="47" t="s">
        <x:v>182</x:v>
      </x:c>
    </x:row>
    <x:row r="14" ht="21.950000762939453" customHeight="1">
      <x:c r="A14" s="40">
        <x:v>7</x:v>
      </x:c>
      <x:c r="B14" s="41"/>
      <x:c r="C14" s="42"/>
      <x:c r="D14" s="41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4" t="str">
        <x:f>IF(B14="","",IF(COUNTA(E14:P14)=0,"",COUNTIF(E14:P14,"1")))</x:f>
      </x:c>
      <x:c r="R14" s="44" t="str">
        <x:f>IF(B14="","",IF(COUNTA(E14:P14)=0,"",ROUND((COUNTIF(E14:P14,"1")+0.5*COUNTIF(E14:P14,"L"))/12*100,0)))</x:f>
      </x:c>
      <x:c r="S14" s="45" t="str">
        <x:f>IF(B14="","",R14)</x:f>
      </x:c>
      <x:c r="T14" s="45"/>
      <x:c r="U14" s="45"/>
      <x:c r="V14" s="45"/>
      <x:c r="W14" s="45"/>
      <x:c r="X14" s="45"/>
      <x:c r="Y14" s="45"/>
      <x:c r="Z14" s="45"/>
      <x:c r="AA14" s="45"/>
      <x:c r="AB14" s="45"/>
      <x:c r="AC14" s="44" t="str">
        <x:f>IF(S14="","",ROUND(S14*0.1,2))</x:f>
      </x:c>
      <x:c r="AD14" s="44" t="str">
        <x:f>IF(T14="","",ROUND(T14*0.1,2))</x:f>
      </x:c>
      <x:c r="AE14" s="44" t="str">
        <x:f>IF(U14="","",ROUND(U14*0.25,2))</x:f>
      </x:c>
      <x:c r="AF14" s="44" t="str">
        <x:f>IF(V14="","",ROUND(V14*0.1,2))</x:f>
      </x:c>
      <x:c r="AG14" s="44" t="str">
        <x:f>IF(W14="","",ROUND(W14*0.15,2))</x:f>
      </x:c>
      <x:c r="AH14" s="44" t="str">
        <x:f>IF(X14="","",ROUND(X14*0.1,2))</x:f>
      </x:c>
      <x:c r="AI14" s="44" t="str">
        <x:f>IF(Y14="","",ROUND(Y14*0.05,2))</x:f>
      </x:c>
      <x:c r="AJ14" s="44" t="str">
        <x:f>IF(Z14="","",ROUND(Z14*0.05,2))</x:f>
      </x:c>
      <x:c r="AK14" s="44" t="str">
        <x:f>IF(AA14="","",ROUND(AA14*0.05,2))</x:f>
      </x:c>
      <x:c r="AL14" s="44" t="str">
        <x:f>IF(AB14="","",ROUND(AB14*0.05,2))</x:f>
      </x:c>
      <x:c r="AM14" s="46" t="str">
        <x:f>IF(B14="","",IF(COUNT(S14:AB14)&lt;10,"",ROUND(SUM(AC14:AL14),2)))</x:f>
      </x:c>
      <x:c r="AN14" s="44" t="str">
        <x:f>IF(AM14="","",IF(AM14&gt;=90,"ល្អប្រសើរ",IF(AM14&gt;=80,"ល្អ",IF(AM14&gt;=70,"មធ្យមល្អ",IF(AM14&gt;=60,"មធ្យម","ត្រូវកែលម្អ")))))</x:f>
      </x:c>
      <x:c r="AO14" s="44" t="str">
        <x:f>IF(AM14="","",1+COUNTIF($AM$8:$AM$27,"&gt;"&amp;AM14))</x:f>
      </x:c>
      <x:c r="AP14" s="47"/>
    </x:row>
    <x:row r="15" ht="21.950000762939453" customHeight="1">
      <x:c r="A15" s="40">
        <x:v>8</x:v>
      </x:c>
      <x:c r="B15" s="41"/>
      <x:c r="C15" s="42"/>
      <x:c r="D15" s="41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4" t="str">
        <x:f>IF(B15="","",IF(COUNTA(E15:P15)=0,"",COUNTIF(E15:P15,"1")))</x:f>
      </x:c>
      <x:c r="R15" s="44" t="str">
        <x:f>IF(B15="","",IF(COUNTA(E15:P15)=0,"",ROUND((COUNTIF(E15:P15,"1")+0.5*COUNTIF(E15:P15,"L"))/12*100,0)))</x:f>
      </x:c>
      <x:c r="S15" s="45" t="str">
        <x:f>IF(B15="","",R15)</x:f>
      </x:c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4" t="str">
        <x:f>IF(S15="","",ROUND(S15*0.1,2))</x:f>
      </x:c>
      <x:c r="AD15" s="44" t="str">
        <x:f>IF(T15="","",ROUND(T15*0.1,2))</x:f>
      </x:c>
      <x:c r="AE15" s="44" t="str">
        <x:f>IF(U15="","",ROUND(U15*0.25,2))</x:f>
      </x:c>
      <x:c r="AF15" s="44" t="str">
        <x:f>IF(V15="","",ROUND(V15*0.1,2))</x:f>
      </x:c>
      <x:c r="AG15" s="44" t="str">
        <x:f>IF(W15="","",ROUND(W15*0.15,2))</x:f>
      </x:c>
      <x:c r="AH15" s="44" t="str">
        <x:f>IF(X15="","",ROUND(X15*0.1,2))</x:f>
      </x:c>
      <x:c r="AI15" s="44" t="str">
        <x:f>IF(Y15="","",ROUND(Y15*0.05,2))</x:f>
      </x:c>
      <x:c r="AJ15" s="44" t="str">
        <x:f>IF(Z15="","",ROUND(Z15*0.05,2))</x:f>
      </x:c>
      <x:c r="AK15" s="44" t="str">
        <x:f>IF(AA15="","",ROUND(AA15*0.05,2))</x:f>
      </x:c>
      <x:c r="AL15" s="44" t="str">
        <x:f>IF(AB15="","",ROUND(AB15*0.05,2))</x:f>
      </x:c>
      <x:c r="AM15" s="46" t="str">
        <x:f>IF(B15="","",IF(COUNT(S15:AB15)&lt;10,"",ROUND(SUM(AC15:AL15),2)))</x:f>
      </x:c>
      <x:c r="AN15" s="44" t="str">
        <x:f>IF(AM15="","",IF(AM15&gt;=90,"ល្អប្រសើរ",IF(AM15&gt;=80,"ល្អ",IF(AM15&gt;=70,"មធ្យមល្អ",IF(AM15&gt;=60,"មធ្យម","ត្រូវកែលម្អ")))))</x:f>
      </x:c>
      <x:c r="AO15" s="44" t="str">
        <x:f>IF(AM15="","",1+COUNTIF($AM$8:$AM$27,"&gt;"&amp;AM15))</x:f>
      </x:c>
      <x:c r="AP15" s="47"/>
    </x:row>
    <x:row r="16" ht="21.950000762939453" customHeight="1">
      <x:c r="A16" s="40">
        <x:v>9</x:v>
      </x:c>
      <x:c r="B16" s="41"/>
      <x:c r="C16" s="42"/>
      <x:c r="D16" s="41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4" t="str">
        <x:f>IF(B16="","",IF(COUNTA(E16:P16)=0,"",COUNTIF(E16:P16,"1")))</x:f>
      </x:c>
      <x:c r="R16" s="44" t="str">
        <x:f>IF(B16="","",IF(COUNTA(E16:P16)=0,"",ROUND((COUNTIF(E16:P16,"1")+0.5*COUNTIF(E16:P16,"L"))/12*100,0)))</x:f>
      </x:c>
      <x:c r="S16" s="45" t="str">
        <x:f>IF(B16="","",R16)</x:f>
      </x:c>
      <x:c r="T16" s="45"/>
      <x:c r="U16" s="45"/>
      <x:c r="V16" s="45"/>
      <x:c r="W16" s="45"/>
      <x:c r="X16" s="45"/>
      <x:c r="Y16" s="45"/>
      <x:c r="Z16" s="45"/>
      <x:c r="AA16" s="45"/>
      <x:c r="AB16" s="45"/>
      <x:c r="AC16" s="44" t="str">
        <x:f>IF(S16="","",ROUND(S16*0.1,2))</x:f>
      </x:c>
      <x:c r="AD16" s="44" t="str">
        <x:f>IF(T16="","",ROUND(T16*0.1,2))</x:f>
      </x:c>
      <x:c r="AE16" s="44" t="str">
        <x:f>IF(U16="","",ROUND(U16*0.25,2))</x:f>
      </x:c>
      <x:c r="AF16" s="44" t="str">
        <x:f>IF(V16="","",ROUND(V16*0.1,2))</x:f>
      </x:c>
      <x:c r="AG16" s="44" t="str">
        <x:f>IF(W16="","",ROUND(W16*0.15,2))</x:f>
      </x:c>
      <x:c r="AH16" s="44" t="str">
        <x:f>IF(X16="","",ROUND(X16*0.1,2))</x:f>
      </x:c>
      <x:c r="AI16" s="44" t="str">
        <x:f>IF(Y16="","",ROUND(Y16*0.05,2))</x:f>
      </x:c>
      <x:c r="AJ16" s="44" t="str">
        <x:f>IF(Z16="","",ROUND(Z16*0.05,2))</x:f>
      </x:c>
      <x:c r="AK16" s="44" t="str">
        <x:f>IF(AA16="","",ROUND(AA16*0.05,2))</x:f>
      </x:c>
      <x:c r="AL16" s="44" t="str">
        <x:f>IF(AB16="","",ROUND(AB16*0.05,2))</x:f>
      </x:c>
      <x:c r="AM16" s="46" t="str">
        <x:f>IF(B16="","",IF(COUNT(S16:AB16)&lt;10,"",ROUND(SUM(AC16:AL16),2)))</x:f>
      </x:c>
      <x:c r="AN16" s="44" t="str">
        <x:f>IF(AM16="","",IF(AM16&gt;=90,"ល្អប្រសើរ",IF(AM16&gt;=80,"ល្អ",IF(AM16&gt;=70,"មធ្យមល្អ",IF(AM16&gt;=60,"មធ្យម","ត្រូវកែលម្អ")))))</x:f>
      </x:c>
      <x:c r="AO16" s="44" t="str">
        <x:f>IF(AM16="","",1+COUNTIF($AM$8:$AM$27,"&gt;"&amp;AM16))</x:f>
      </x:c>
      <x:c r="AP16" s="47"/>
    </x:row>
    <x:row r="17" ht="21.950000762939453" customHeight="1">
      <x:c r="A17" s="40">
        <x:v>10</x:v>
      </x:c>
      <x:c r="B17" s="41"/>
      <x:c r="C17" s="42"/>
      <x:c r="D17" s="41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4" t="str">
        <x:f>IF(B17="","",IF(COUNTA(E17:P17)=0,"",COUNTIF(E17:P17,"1")))</x:f>
      </x:c>
      <x:c r="R17" s="44" t="str">
        <x:f>IF(B17="","",IF(COUNTA(E17:P17)=0,"",ROUND((COUNTIF(E17:P17,"1")+0.5*COUNTIF(E17:P17,"L"))/12*100,0)))</x:f>
      </x:c>
      <x:c r="S17" s="45" t="str">
        <x:f>IF(B17="","",R17)</x:f>
      </x:c>
      <x:c r="T17" s="45"/>
      <x:c r="U17" s="45"/>
      <x:c r="V17" s="45"/>
      <x:c r="W17" s="45"/>
      <x:c r="X17" s="45"/>
      <x:c r="Y17" s="45"/>
      <x:c r="Z17" s="45"/>
      <x:c r="AA17" s="45"/>
      <x:c r="AB17" s="45"/>
      <x:c r="AC17" s="44" t="str">
        <x:f>IF(S17="","",ROUND(S17*0.1,2))</x:f>
      </x:c>
      <x:c r="AD17" s="44" t="str">
        <x:f>IF(T17="","",ROUND(T17*0.1,2))</x:f>
      </x:c>
      <x:c r="AE17" s="44" t="str">
        <x:f>IF(U17="","",ROUND(U17*0.25,2))</x:f>
      </x:c>
      <x:c r="AF17" s="44" t="str">
        <x:f>IF(V17="","",ROUND(V17*0.1,2))</x:f>
      </x:c>
      <x:c r="AG17" s="44" t="str">
        <x:f>IF(W17="","",ROUND(W17*0.15,2))</x:f>
      </x:c>
      <x:c r="AH17" s="44" t="str">
        <x:f>IF(X17="","",ROUND(X17*0.1,2))</x:f>
      </x:c>
      <x:c r="AI17" s="44" t="str">
        <x:f>IF(Y17="","",ROUND(Y17*0.05,2))</x:f>
      </x:c>
      <x:c r="AJ17" s="44" t="str">
        <x:f>IF(Z17="","",ROUND(Z17*0.05,2))</x:f>
      </x:c>
      <x:c r="AK17" s="44" t="str">
        <x:f>IF(AA17="","",ROUND(AA17*0.05,2))</x:f>
      </x:c>
      <x:c r="AL17" s="44" t="str">
        <x:f>IF(AB17="","",ROUND(AB17*0.05,2))</x:f>
      </x:c>
      <x:c r="AM17" s="46" t="str">
        <x:f>IF(B17="","",IF(COUNT(S17:AB17)&lt;10,"",ROUND(SUM(AC17:AL17),2)))</x:f>
      </x:c>
      <x:c r="AN17" s="44" t="str">
        <x:f>IF(AM17="","",IF(AM17&gt;=90,"ល្អប្រសើរ",IF(AM17&gt;=80,"ល្អ",IF(AM17&gt;=70,"មធ្យមល្អ",IF(AM17&gt;=60,"មធ្យម","ត្រូវកែលម្អ")))))</x:f>
      </x:c>
      <x:c r="AO17" s="44" t="str">
        <x:f>IF(AM17="","",1+COUNTIF($AM$8:$AM$27,"&gt;"&amp;AM17))</x:f>
      </x:c>
      <x:c r="AP17" s="47"/>
    </x:row>
    <x:row r="18" ht="21.950000762939453" customHeight="1">
      <x:c r="A18" s="40">
        <x:v>11</x:v>
      </x:c>
      <x:c r="B18" s="41"/>
      <x:c r="C18" s="42"/>
      <x:c r="D18" s="41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4" t="str">
        <x:f>IF(B18="","",IF(COUNTA(E18:P18)=0,"",COUNTIF(E18:P18,"1")))</x:f>
      </x:c>
      <x:c r="R18" s="44" t="str">
        <x:f>IF(B18="","",IF(COUNTA(E18:P18)=0,"",ROUND((COUNTIF(E18:P18,"1")+0.5*COUNTIF(E18:P18,"L"))/12*100,0)))</x:f>
      </x:c>
      <x:c r="S18" s="45" t="str">
        <x:f>IF(B18="","",R18)</x:f>
      </x:c>
      <x:c r="T18" s="45"/>
      <x:c r="U18" s="45"/>
      <x:c r="V18" s="45"/>
      <x:c r="W18" s="45"/>
      <x:c r="X18" s="45"/>
      <x:c r="Y18" s="45"/>
      <x:c r="Z18" s="45"/>
      <x:c r="AA18" s="45"/>
      <x:c r="AB18" s="45"/>
      <x:c r="AC18" s="44" t="str">
        <x:f>IF(S18="","",ROUND(S18*0.1,2))</x:f>
      </x:c>
      <x:c r="AD18" s="44" t="str">
        <x:f>IF(T18="","",ROUND(T18*0.1,2))</x:f>
      </x:c>
      <x:c r="AE18" s="44" t="str">
        <x:f>IF(U18="","",ROUND(U18*0.25,2))</x:f>
      </x:c>
      <x:c r="AF18" s="44" t="str">
        <x:f>IF(V18="","",ROUND(V18*0.1,2))</x:f>
      </x:c>
      <x:c r="AG18" s="44" t="str">
        <x:f>IF(W18="","",ROUND(W18*0.15,2))</x:f>
      </x:c>
      <x:c r="AH18" s="44" t="str">
        <x:f>IF(X18="","",ROUND(X18*0.1,2))</x:f>
      </x:c>
      <x:c r="AI18" s="44" t="str">
        <x:f>IF(Y18="","",ROUND(Y18*0.05,2))</x:f>
      </x:c>
      <x:c r="AJ18" s="44" t="str">
        <x:f>IF(Z18="","",ROUND(Z18*0.05,2))</x:f>
      </x:c>
      <x:c r="AK18" s="44" t="str">
        <x:f>IF(AA18="","",ROUND(AA18*0.05,2))</x:f>
      </x:c>
      <x:c r="AL18" s="44" t="str">
        <x:f>IF(AB18="","",ROUND(AB18*0.05,2))</x:f>
      </x:c>
      <x:c r="AM18" s="46" t="str">
        <x:f>IF(B18="","",IF(COUNT(S18:AB18)&lt;10,"",ROUND(SUM(AC18:AL18),2)))</x:f>
      </x:c>
      <x:c r="AN18" s="44" t="str">
        <x:f>IF(AM18="","",IF(AM18&gt;=90,"ល្អប្រសើរ",IF(AM18&gt;=80,"ល្អ",IF(AM18&gt;=70,"មធ្យមល្អ",IF(AM18&gt;=60,"មធ្យម","ត្រូវកែលម្អ")))))</x:f>
      </x:c>
      <x:c r="AO18" s="44" t="str">
        <x:f>IF(AM18="","",1+COUNTIF($AM$8:$AM$27,"&gt;"&amp;AM18))</x:f>
      </x:c>
      <x:c r="AP18" s="47"/>
    </x:row>
    <x:row r="19" ht="21.950000762939453" customHeight="1">
      <x:c r="A19" s="40">
        <x:v>12</x:v>
      </x:c>
      <x:c r="B19" s="41"/>
      <x:c r="C19" s="42"/>
      <x:c r="D19" s="41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4" t="str">
        <x:f>IF(B19="","",IF(COUNTA(E19:P19)=0,"",COUNTIF(E19:P19,"1")))</x:f>
      </x:c>
      <x:c r="R19" s="44" t="str">
        <x:f>IF(B19="","",IF(COUNTA(E19:P19)=0,"",ROUND((COUNTIF(E19:P19,"1")+0.5*COUNTIF(E19:P19,"L"))/12*100,0)))</x:f>
      </x:c>
      <x:c r="S19" s="45" t="str">
        <x:f>IF(B19="","",R19)</x:f>
      </x:c>
      <x:c r="T19" s="45"/>
      <x:c r="U19" s="45"/>
      <x:c r="V19" s="45"/>
      <x:c r="W19" s="45"/>
      <x:c r="X19" s="45"/>
      <x:c r="Y19" s="45"/>
      <x:c r="Z19" s="45"/>
      <x:c r="AA19" s="45"/>
      <x:c r="AB19" s="45"/>
      <x:c r="AC19" s="44" t="str">
        <x:f>IF(S19="","",ROUND(S19*0.1,2))</x:f>
      </x:c>
      <x:c r="AD19" s="44" t="str">
        <x:f>IF(T19="","",ROUND(T19*0.1,2))</x:f>
      </x:c>
      <x:c r="AE19" s="44" t="str">
        <x:f>IF(U19="","",ROUND(U19*0.25,2))</x:f>
      </x:c>
      <x:c r="AF19" s="44" t="str">
        <x:f>IF(V19="","",ROUND(V19*0.1,2))</x:f>
      </x:c>
      <x:c r="AG19" s="44" t="str">
        <x:f>IF(W19="","",ROUND(W19*0.15,2))</x:f>
      </x:c>
      <x:c r="AH19" s="44" t="str">
        <x:f>IF(X19="","",ROUND(X19*0.1,2))</x:f>
      </x:c>
      <x:c r="AI19" s="44" t="str">
        <x:f>IF(Y19="","",ROUND(Y19*0.05,2))</x:f>
      </x:c>
      <x:c r="AJ19" s="44" t="str">
        <x:f>IF(Z19="","",ROUND(Z19*0.05,2))</x:f>
      </x:c>
      <x:c r="AK19" s="44" t="str">
        <x:f>IF(AA19="","",ROUND(AA19*0.05,2))</x:f>
      </x:c>
      <x:c r="AL19" s="44" t="str">
        <x:f>IF(AB19="","",ROUND(AB19*0.05,2))</x:f>
      </x:c>
      <x:c r="AM19" s="46" t="str">
        <x:f>IF(B19="","",IF(COUNT(S19:AB19)&lt;10,"",ROUND(SUM(AC19:AL19),2)))</x:f>
      </x:c>
      <x:c r="AN19" s="44" t="str">
        <x:f>IF(AM19="","",IF(AM19&gt;=90,"ល្អប្រសើរ",IF(AM19&gt;=80,"ល្អ",IF(AM19&gt;=70,"មធ្យមល្អ",IF(AM19&gt;=60,"មធ្យម","ត្រូវកែលម្អ")))))</x:f>
      </x:c>
      <x:c r="AO19" s="44" t="str">
        <x:f>IF(AM19="","",1+COUNTIF($AM$8:$AM$27,"&gt;"&amp;AM19))</x:f>
      </x:c>
      <x:c r="AP19" s="47"/>
    </x:row>
    <x:row r="20" ht="21.950000762939453" customHeight="1">
      <x:c r="A20" s="40">
        <x:v>13</x:v>
      </x:c>
      <x:c r="B20" s="41"/>
      <x:c r="C20" s="42"/>
      <x:c r="D20" s="41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4" t="str">
        <x:f>IF(B20="","",IF(COUNTA(E20:P20)=0,"",COUNTIF(E20:P20,"1")))</x:f>
      </x:c>
      <x:c r="R20" s="44" t="str">
        <x:f>IF(B20="","",IF(COUNTA(E20:P20)=0,"",ROUND((COUNTIF(E20:P20,"1")+0.5*COUNTIF(E20:P20,"L"))/12*100,0)))</x:f>
      </x:c>
      <x:c r="S20" s="45" t="str">
        <x:f>IF(B20="","",R20)</x:f>
      </x:c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4" t="str">
        <x:f>IF(S20="","",ROUND(S20*0.1,2))</x:f>
      </x:c>
      <x:c r="AD20" s="44" t="str">
        <x:f>IF(T20="","",ROUND(T20*0.1,2))</x:f>
      </x:c>
      <x:c r="AE20" s="44" t="str">
        <x:f>IF(U20="","",ROUND(U20*0.25,2))</x:f>
      </x:c>
      <x:c r="AF20" s="44" t="str">
        <x:f>IF(V20="","",ROUND(V20*0.1,2))</x:f>
      </x:c>
      <x:c r="AG20" s="44" t="str">
        <x:f>IF(W20="","",ROUND(W20*0.15,2))</x:f>
      </x:c>
      <x:c r="AH20" s="44" t="str">
        <x:f>IF(X20="","",ROUND(X20*0.1,2))</x:f>
      </x:c>
      <x:c r="AI20" s="44" t="str">
        <x:f>IF(Y20="","",ROUND(Y20*0.05,2))</x:f>
      </x:c>
      <x:c r="AJ20" s="44" t="str">
        <x:f>IF(Z20="","",ROUND(Z20*0.05,2))</x:f>
      </x:c>
      <x:c r="AK20" s="44" t="str">
        <x:f>IF(AA20="","",ROUND(AA20*0.05,2))</x:f>
      </x:c>
      <x:c r="AL20" s="44" t="str">
        <x:f>IF(AB20="","",ROUND(AB20*0.05,2))</x:f>
      </x:c>
      <x:c r="AM20" s="46" t="str">
        <x:f>IF(B20="","",IF(COUNT(S20:AB20)&lt;10,"",ROUND(SUM(AC20:AL20),2)))</x:f>
      </x:c>
      <x:c r="AN20" s="44" t="str">
        <x:f>IF(AM20="","",IF(AM20&gt;=90,"ល្អប្រសើរ",IF(AM20&gt;=80,"ល្អ",IF(AM20&gt;=70,"មធ្យមល្អ",IF(AM20&gt;=60,"មធ្យម","ត្រូវកែលម្អ")))))</x:f>
      </x:c>
      <x:c r="AO20" s="44" t="str">
        <x:f>IF(AM20="","",1+COUNTIF($AM$8:$AM$27,"&gt;"&amp;AM20))</x:f>
      </x:c>
      <x:c r="AP20" s="47"/>
    </x:row>
    <x:row r="21" ht="21.950000762939453" customHeight="1">
      <x:c r="A21" s="40">
        <x:v>14</x:v>
      </x:c>
      <x:c r="B21" s="41"/>
      <x:c r="C21" s="42"/>
      <x:c r="D21" s="41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4" t="str">
        <x:f>IF(B21="","",IF(COUNTA(E21:P21)=0,"",COUNTIF(E21:P21,"1")))</x:f>
      </x:c>
      <x:c r="R21" s="44" t="str">
        <x:f>IF(B21="","",IF(COUNTA(E21:P21)=0,"",ROUND((COUNTIF(E21:P21,"1")+0.5*COUNTIF(E21:P21,"L"))/12*100,0)))</x:f>
      </x:c>
      <x:c r="S21" s="45" t="str">
        <x:f>IF(B21="","",R21)</x:f>
      </x:c>
      <x:c r="T21" s="45"/>
      <x:c r="U21" s="45"/>
      <x:c r="V21" s="45"/>
      <x:c r="W21" s="45"/>
      <x:c r="X21" s="45"/>
      <x:c r="Y21" s="45"/>
      <x:c r="Z21" s="45"/>
      <x:c r="AA21" s="45"/>
      <x:c r="AB21" s="45"/>
      <x:c r="AC21" s="44" t="str">
        <x:f>IF(S21="","",ROUND(S21*0.1,2))</x:f>
      </x:c>
      <x:c r="AD21" s="44" t="str">
        <x:f>IF(T21="","",ROUND(T21*0.1,2))</x:f>
      </x:c>
      <x:c r="AE21" s="44" t="str">
        <x:f>IF(U21="","",ROUND(U21*0.25,2))</x:f>
      </x:c>
      <x:c r="AF21" s="44" t="str">
        <x:f>IF(V21="","",ROUND(V21*0.1,2))</x:f>
      </x:c>
      <x:c r="AG21" s="44" t="str">
        <x:f>IF(W21="","",ROUND(W21*0.15,2))</x:f>
      </x:c>
      <x:c r="AH21" s="44" t="str">
        <x:f>IF(X21="","",ROUND(X21*0.1,2))</x:f>
      </x:c>
      <x:c r="AI21" s="44" t="str">
        <x:f>IF(Y21="","",ROUND(Y21*0.05,2))</x:f>
      </x:c>
      <x:c r="AJ21" s="44" t="str">
        <x:f>IF(Z21="","",ROUND(Z21*0.05,2))</x:f>
      </x:c>
      <x:c r="AK21" s="44" t="str">
        <x:f>IF(AA21="","",ROUND(AA21*0.05,2))</x:f>
      </x:c>
      <x:c r="AL21" s="44" t="str">
        <x:f>IF(AB21="","",ROUND(AB21*0.05,2))</x:f>
      </x:c>
      <x:c r="AM21" s="46" t="str">
        <x:f>IF(B21="","",IF(COUNT(S21:AB21)&lt;10,"",ROUND(SUM(AC21:AL21),2)))</x:f>
      </x:c>
      <x:c r="AN21" s="44" t="str">
        <x:f>IF(AM21="","",IF(AM21&gt;=90,"ល្អប្រសើរ",IF(AM21&gt;=80,"ល្អ",IF(AM21&gt;=70,"មធ្យមល្អ",IF(AM21&gt;=60,"មធ្យម","ត្រូវកែលម្អ")))))</x:f>
      </x:c>
      <x:c r="AO21" s="44" t="str">
        <x:f>IF(AM21="","",1+COUNTIF($AM$8:$AM$27,"&gt;"&amp;AM21))</x:f>
      </x:c>
      <x:c r="AP21" s="47"/>
    </x:row>
    <x:row r="22" ht="21.950000762939453" customHeight="1">
      <x:c r="A22" s="40">
        <x:v>15</x:v>
      </x:c>
      <x:c r="B22" s="41"/>
      <x:c r="C22" s="42"/>
      <x:c r="D22" s="41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4" t="str">
        <x:f>IF(B22="","",IF(COUNTA(E22:P22)=0,"",COUNTIF(E22:P22,"1")))</x:f>
      </x:c>
      <x:c r="R22" s="44" t="str">
        <x:f>IF(B22="","",IF(COUNTA(E22:P22)=0,"",ROUND((COUNTIF(E22:P22,"1")+0.5*COUNTIF(E22:P22,"L"))/12*100,0)))</x:f>
      </x:c>
      <x:c r="S22" s="45" t="str">
        <x:f>IF(B22="","",R22)</x:f>
      </x:c>
      <x:c r="T22" s="45"/>
      <x:c r="U22" s="45"/>
      <x:c r="V22" s="45"/>
      <x:c r="W22" s="45"/>
      <x:c r="X22" s="45"/>
      <x:c r="Y22" s="45"/>
      <x:c r="Z22" s="45"/>
      <x:c r="AA22" s="45"/>
      <x:c r="AB22" s="45"/>
      <x:c r="AC22" s="44" t="str">
        <x:f>IF(S22="","",ROUND(S22*0.1,2))</x:f>
      </x:c>
      <x:c r="AD22" s="44" t="str">
        <x:f>IF(T22="","",ROUND(T22*0.1,2))</x:f>
      </x:c>
      <x:c r="AE22" s="44" t="str">
        <x:f>IF(U22="","",ROUND(U22*0.25,2))</x:f>
      </x:c>
      <x:c r="AF22" s="44" t="str">
        <x:f>IF(V22="","",ROUND(V22*0.1,2))</x:f>
      </x:c>
      <x:c r="AG22" s="44" t="str">
        <x:f>IF(W22="","",ROUND(W22*0.15,2))</x:f>
      </x:c>
      <x:c r="AH22" s="44" t="str">
        <x:f>IF(X22="","",ROUND(X22*0.1,2))</x:f>
      </x:c>
      <x:c r="AI22" s="44" t="str">
        <x:f>IF(Y22="","",ROUND(Y22*0.05,2))</x:f>
      </x:c>
      <x:c r="AJ22" s="44" t="str">
        <x:f>IF(Z22="","",ROUND(Z22*0.05,2))</x:f>
      </x:c>
      <x:c r="AK22" s="44" t="str">
        <x:f>IF(AA22="","",ROUND(AA22*0.05,2))</x:f>
      </x:c>
      <x:c r="AL22" s="44" t="str">
        <x:f>IF(AB22="","",ROUND(AB22*0.05,2))</x:f>
      </x:c>
      <x:c r="AM22" s="46" t="str">
        <x:f>IF(B22="","",IF(COUNT(S22:AB22)&lt;10,"",ROUND(SUM(AC22:AL22),2)))</x:f>
      </x:c>
      <x:c r="AN22" s="44" t="str">
        <x:f>IF(AM22="","",IF(AM22&gt;=90,"ល្អប្រសើរ",IF(AM22&gt;=80,"ល្អ",IF(AM22&gt;=70,"មធ្យមល្អ",IF(AM22&gt;=60,"មធ្យម","ត្រូវកែលម្អ")))))</x:f>
      </x:c>
      <x:c r="AO22" s="44" t="str">
        <x:f>IF(AM22="","",1+COUNTIF($AM$8:$AM$27,"&gt;"&amp;AM22))</x:f>
      </x:c>
      <x:c r="AP22" s="47"/>
    </x:row>
    <x:row r="23" ht="21.950000762939453" customHeight="1">
      <x:c r="A23" s="40">
        <x:v>16</x:v>
      </x:c>
      <x:c r="B23" s="41"/>
      <x:c r="C23" s="42"/>
      <x:c r="D23" s="41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4" t="str">
        <x:f>IF(B23="","",IF(COUNTA(E23:P23)=0,"",COUNTIF(E23:P23,"1")))</x:f>
      </x:c>
      <x:c r="R23" s="44" t="str">
        <x:f>IF(B23="","",IF(COUNTA(E23:P23)=0,"",ROUND((COUNTIF(E23:P23,"1")+0.5*COUNTIF(E23:P23,"L"))/12*100,0)))</x:f>
      </x:c>
      <x:c r="S23" s="45" t="str">
        <x:f>IF(B23="","",R23)</x:f>
      </x:c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4" t="str">
        <x:f>IF(S23="","",ROUND(S23*0.1,2))</x:f>
      </x:c>
      <x:c r="AD23" s="44" t="str">
        <x:f>IF(T23="","",ROUND(T23*0.1,2))</x:f>
      </x:c>
      <x:c r="AE23" s="44" t="str">
        <x:f>IF(U23="","",ROUND(U23*0.25,2))</x:f>
      </x:c>
      <x:c r="AF23" s="44" t="str">
        <x:f>IF(V23="","",ROUND(V23*0.1,2))</x:f>
      </x:c>
      <x:c r="AG23" s="44" t="str">
        <x:f>IF(W23="","",ROUND(W23*0.15,2))</x:f>
      </x:c>
      <x:c r="AH23" s="44" t="str">
        <x:f>IF(X23="","",ROUND(X23*0.1,2))</x:f>
      </x:c>
      <x:c r="AI23" s="44" t="str">
        <x:f>IF(Y23="","",ROUND(Y23*0.05,2))</x:f>
      </x:c>
      <x:c r="AJ23" s="44" t="str">
        <x:f>IF(Z23="","",ROUND(Z23*0.05,2))</x:f>
      </x:c>
      <x:c r="AK23" s="44" t="str">
        <x:f>IF(AA23="","",ROUND(AA23*0.05,2))</x:f>
      </x:c>
      <x:c r="AL23" s="44" t="str">
        <x:f>IF(AB23="","",ROUND(AB23*0.05,2))</x:f>
      </x:c>
      <x:c r="AM23" s="46" t="str">
        <x:f>IF(B23="","",IF(COUNT(S23:AB23)&lt;10,"",ROUND(SUM(AC23:AL23),2)))</x:f>
      </x:c>
      <x:c r="AN23" s="44" t="str">
        <x:f>IF(AM23="","",IF(AM23&gt;=90,"ល្អប្រសើរ",IF(AM23&gt;=80,"ល្អ",IF(AM23&gt;=70,"មធ្យមល្អ",IF(AM23&gt;=60,"មធ្យម","ត្រូវកែលម្អ")))))</x:f>
      </x:c>
      <x:c r="AO23" s="44" t="str">
        <x:f>IF(AM23="","",1+COUNTIF($AM$8:$AM$27,"&gt;"&amp;AM23))</x:f>
      </x:c>
      <x:c r="AP23" s="47"/>
    </x:row>
    <x:row r="24" ht="21.950000762939453" customHeight="1">
      <x:c r="A24" s="40">
        <x:v>17</x:v>
      </x:c>
      <x:c r="B24" s="41"/>
      <x:c r="C24" s="42"/>
      <x:c r="D24" s="41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4" t="str">
        <x:f>IF(B24="","",IF(COUNTA(E24:P24)=0,"",COUNTIF(E24:P24,"1")))</x:f>
      </x:c>
      <x:c r="R24" s="44" t="str">
        <x:f>IF(B24="","",IF(COUNTA(E24:P24)=0,"",ROUND((COUNTIF(E24:P24,"1")+0.5*COUNTIF(E24:P24,"L"))/12*100,0)))</x:f>
      </x:c>
      <x:c r="S24" s="45" t="str">
        <x:f>IF(B24="","",R24)</x:f>
      </x:c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4" t="str">
        <x:f>IF(S24="","",ROUND(S24*0.1,2))</x:f>
      </x:c>
      <x:c r="AD24" s="44" t="str">
        <x:f>IF(T24="","",ROUND(T24*0.1,2))</x:f>
      </x:c>
      <x:c r="AE24" s="44" t="str">
        <x:f>IF(U24="","",ROUND(U24*0.25,2))</x:f>
      </x:c>
      <x:c r="AF24" s="44" t="str">
        <x:f>IF(V24="","",ROUND(V24*0.1,2))</x:f>
      </x:c>
      <x:c r="AG24" s="44" t="str">
        <x:f>IF(W24="","",ROUND(W24*0.15,2))</x:f>
      </x:c>
      <x:c r="AH24" s="44" t="str">
        <x:f>IF(X24="","",ROUND(X24*0.1,2))</x:f>
      </x:c>
      <x:c r="AI24" s="44" t="str">
        <x:f>IF(Y24="","",ROUND(Y24*0.05,2))</x:f>
      </x:c>
      <x:c r="AJ24" s="44" t="str">
        <x:f>IF(Z24="","",ROUND(Z24*0.05,2))</x:f>
      </x:c>
      <x:c r="AK24" s="44" t="str">
        <x:f>IF(AA24="","",ROUND(AA24*0.05,2))</x:f>
      </x:c>
      <x:c r="AL24" s="44" t="str">
        <x:f>IF(AB24="","",ROUND(AB24*0.05,2))</x:f>
      </x:c>
      <x:c r="AM24" s="46" t="str">
        <x:f>IF(B24="","",IF(COUNT(S24:AB24)&lt;10,"",ROUND(SUM(AC24:AL24),2)))</x:f>
      </x:c>
      <x:c r="AN24" s="44" t="str">
        <x:f>IF(AM24="","",IF(AM24&gt;=90,"ល្អប្រសើរ",IF(AM24&gt;=80,"ល្អ",IF(AM24&gt;=70,"មធ្យមល្អ",IF(AM24&gt;=60,"មធ្យម","ត្រូវកែលម្អ")))))</x:f>
      </x:c>
      <x:c r="AO24" s="44" t="str">
        <x:f>IF(AM24="","",1+COUNTIF($AM$8:$AM$27,"&gt;"&amp;AM24))</x:f>
      </x:c>
      <x:c r="AP24" s="47"/>
    </x:row>
    <x:row r="25" ht="21.950000762939453" customHeight="1">
      <x:c r="A25" s="40">
        <x:v>18</x:v>
      </x:c>
      <x:c r="B25" s="41"/>
      <x:c r="C25" s="42"/>
      <x:c r="D25" s="41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4" t="str">
        <x:f>IF(B25="","",IF(COUNTA(E25:P25)=0,"",COUNTIF(E25:P25,"1")))</x:f>
      </x:c>
      <x:c r="R25" s="44" t="str">
        <x:f>IF(B25="","",IF(COUNTA(E25:P25)=0,"",ROUND((COUNTIF(E25:P25,"1")+0.5*COUNTIF(E25:P25,"L"))/12*100,0)))</x:f>
      </x:c>
      <x:c r="S25" s="45" t="str">
        <x:f>IF(B25="","",R25)</x:f>
      </x:c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4" t="str">
        <x:f>IF(S25="","",ROUND(S25*0.1,2))</x:f>
      </x:c>
      <x:c r="AD25" s="44" t="str">
        <x:f>IF(T25="","",ROUND(T25*0.1,2))</x:f>
      </x:c>
      <x:c r="AE25" s="44" t="str">
        <x:f>IF(U25="","",ROUND(U25*0.25,2))</x:f>
      </x:c>
      <x:c r="AF25" s="44" t="str">
        <x:f>IF(V25="","",ROUND(V25*0.1,2))</x:f>
      </x:c>
      <x:c r="AG25" s="44" t="str">
        <x:f>IF(W25="","",ROUND(W25*0.15,2))</x:f>
      </x:c>
      <x:c r="AH25" s="44" t="str">
        <x:f>IF(X25="","",ROUND(X25*0.1,2))</x:f>
      </x:c>
      <x:c r="AI25" s="44" t="str">
        <x:f>IF(Y25="","",ROUND(Y25*0.05,2))</x:f>
      </x:c>
      <x:c r="AJ25" s="44" t="str">
        <x:f>IF(Z25="","",ROUND(Z25*0.05,2))</x:f>
      </x:c>
      <x:c r="AK25" s="44" t="str">
        <x:f>IF(AA25="","",ROUND(AA25*0.05,2))</x:f>
      </x:c>
      <x:c r="AL25" s="44" t="str">
        <x:f>IF(AB25="","",ROUND(AB25*0.05,2))</x:f>
      </x:c>
      <x:c r="AM25" s="46" t="str">
        <x:f>IF(B25="","",IF(COUNT(S25:AB25)&lt;10,"",ROUND(SUM(AC25:AL25),2)))</x:f>
      </x:c>
      <x:c r="AN25" s="44" t="str">
        <x:f>IF(AM25="","",IF(AM25&gt;=90,"ល្អប្រសើរ",IF(AM25&gt;=80,"ល្អ",IF(AM25&gt;=70,"មធ្យមល្អ",IF(AM25&gt;=60,"មធ្យម","ត្រូវកែលម្អ")))))</x:f>
      </x:c>
      <x:c r="AO25" s="44" t="str">
        <x:f>IF(AM25="","",1+COUNTIF($AM$8:$AM$27,"&gt;"&amp;AM25))</x:f>
      </x:c>
      <x:c r="AP25" s="47"/>
    </x:row>
    <x:row r="26" ht="21.950000762939453" customHeight="1">
      <x:c r="A26" s="40">
        <x:v>19</x:v>
      </x:c>
      <x:c r="B26" s="41"/>
      <x:c r="C26" s="42"/>
      <x:c r="D26" s="41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4" t="str">
        <x:f>IF(B26="","",IF(COUNTA(E26:P26)=0,"",COUNTIF(E26:P26,"1")))</x:f>
      </x:c>
      <x:c r="R26" s="44" t="str">
        <x:f>IF(B26="","",IF(COUNTA(E26:P26)=0,"",ROUND((COUNTIF(E26:P26,"1")+0.5*COUNTIF(E26:P26,"L"))/12*100,0)))</x:f>
      </x:c>
      <x:c r="S26" s="45" t="str">
        <x:f>IF(B26="","",R26)</x:f>
      </x:c>
      <x:c r="T26" s="45"/>
      <x:c r="U26" s="45"/>
      <x:c r="V26" s="45"/>
      <x:c r="W26" s="45"/>
      <x:c r="X26" s="45"/>
      <x:c r="Y26" s="45"/>
      <x:c r="Z26" s="45"/>
      <x:c r="AA26" s="45"/>
      <x:c r="AB26" s="45"/>
      <x:c r="AC26" s="44" t="str">
        <x:f>IF(S26="","",ROUND(S26*0.1,2))</x:f>
      </x:c>
      <x:c r="AD26" s="44" t="str">
        <x:f>IF(T26="","",ROUND(T26*0.1,2))</x:f>
      </x:c>
      <x:c r="AE26" s="44" t="str">
        <x:f>IF(U26="","",ROUND(U26*0.25,2))</x:f>
      </x:c>
      <x:c r="AF26" s="44" t="str">
        <x:f>IF(V26="","",ROUND(V26*0.1,2))</x:f>
      </x:c>
      <x:c r="AG26" s="44" t="str">
        <x:f>IF(W26="","",ROUND(W26*0.15,2))</x:f>
      </x:c>
      <x:c r="AH26" s="44" t="str">
        <x:f>IF(X26="","",ROUND(X26*0.1,2))</x:f>
      </x:c>
      <x:c r="AI26" s="44" t="str">
        <x:f>IF(Y26="","",ROUND(Y26*0.05,2))</x:f>
      </x:c>
      <x:c r="AJ26" s="44" t="str">
        <x:f>IF(Z26="","",ROUND(Z26*0.05,2))</x:f>
      </x:c>
      <x:c r="AK26" s="44" t="str">
        <x:f>IF(AA26="","",ROUND(AA26*0.05,2))</x:f>
      </x:c>
      <x:c r="AL26" s="44" t="str">
        <x:f>IF(AB26="","",ROUND(AB26*0.05,2))</x:f>
      </x:c>
      <x:c r="AM26" s="46" t="str">
        <x:f>IF(B26="","",IF(COUNT(S26:AB26)&lt;10,"",ROUND(SUM(AC26:AL26),2)))</x:f>
      </x:c>
      <x:c r="AN26" s="44" t="str">
        <x:f>IF(AM26="","",IF(AM26&gt;=90,"ល្អប្រសើរ",IF(AM26&gt;=80,"ល្អ",IF(AM26&gt;=70,"មធ្យមល្អ",IF(AM26&gt;=60,"មធ្យម","ត្រូវកែលម្អ")))))</x:f>
      </x:c>
      <x:c r="AO26" s="44" t="str">
        <x:f>IF(AM26="","",1+COUNTIF($AM$8:$AM$27,"&gt;"&amp;AM26))</x:f>
      </x:c>
      <x:c r="AP26" s="47"/>
    </x:row>
    <x:row r="27" ht="21.950000762939453" customHeight="1">
      <x:c r="A27" s="48">
        <x:v>20</x:v>
      </x:c>
      <x:c r="B27" s="49"/>
      <x:c r="C27" s="50"/>
      <x:c r="D27" s="49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2" t="str">
        <x:f>IF(B27="","",IF(COUNTA(E27:P27)=0,"",COUNTIF(E27:P27,"1")))</x:f>
      </x:c>
      <x:c r="R27" s="52" t="str">
        <x:f>IF(B27="","",IF(COUNTA(E27:P27)=0,"",ROUND((COUNTIF(E27:P27,"1")+0.5*COUNTIF(E27:P27,"L"))/12*100,0)))</x:f>
      </x:c>
      <x:c r="S27" s="53" t="str">
        <x:f>IF(B27="","",R27)</x:f>
      </x:c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2" t="str">
        <x:f>IF(S27="","",ROUND(S27*0.1,2))</x:f>
      </x:c>
      <x:c r="AD27" s="52" t="str">
        <x:f>IF(T27="","",ROUND(T27*0.1,2))</x:f>
      </x:c>
      <x:c r="AE27" s="52" t="str">
        <x:f>IF(U27="","",ROUND(U27*0.25,2))</x:f>
      </x:c>
      <x:c r="AF27" s="52" t="str">
        <x:f>IF(V27="","",ROUND(V27*0.1,2))</x:f>
      </x:c>
      <x:c r="AG27" s="52" t="str">
        <x:f>IF(W27="","",ROUND(W27*0.15,2))</x:f>
      </x:c>
      <x:c r="AH27" s="52" t="str">
        <x:f>IF(X27="","",ROUND(X27*0.1,2))</x:f>
      </x:c>
      <x:c r="AI27" s="52" t="str">
        <x:f>IF(Y27="","",ROUND(Y27*0.05,2))</x:f>
      </x:c>
      <x:c r="AJ27" s="52" t="str">
        <x:f>IF(Z27="","",ROUND(Z27*0.05,2))</x:f>
      </x:c>
      <x:c r="AK27" s="52" t="str">
        <x:f>IF(AA27="","",ROUND(AA27*0.05,2))</x:f>
      </x:c>
      <x:c r="AL27" s="52" t="str">
        <x:f>IF(AB27="","",ROUND(AB27*0.05,2))</x:f>
      </x:c>
      <x:c r="AM27" s="54" t="str">
        <x:f>IF(B27="","",IF(COUNT(S27:AB27)&lt;10,"",ROUND(SUM(AC27:AL27),2)))</x:f>
      </x:c>
      <x:c r="AN27" s="52" t="str">
        <x:f>IF(AM27="","",IF(AM27&gt;=90,"ល្អប្រសើរ",IF(AM27&gt;=80,"ល្អ",IF(AM27&gt;=70,"មធ្យមល្អ",IF(AM27&gt;=60,"មធ្យម","ត្រូវកែលម្អ")))))</x:f>
      </x:c>
      <x:c r="AO27" s="52" t="str">
        <x:f>IF(AM27="","",1+COUNTIF($AM$8:$AM$27,"&gt;"&amp;AM27))</x:f>
      </x:c>
      <x:c r="AP27" s="55"/>
    </x:row>
  </x:sheetData>
  <x:mergeCells>
    <x:mergeCell ref="A1:AP1"/>
    <x:mergeCell ref="A2:AP2"/>
    <x:mergeCell ref="A3:AP3"/>
    <x:mergeCell ref="E5:P5"/>
    <x:mergeCell ref="Q5:R5"/>
    <x:mergeCell ref="S5:AB5"/>
    <x:mergeCell ref="AC5:AL5"/>
    <x:mergeCell ref="AM5:AP5"/>
  </x:mergeCells>
  <x:dataValidations count="2">
    <x:dataValidation type="list" sqref="E8:P27">
      <x:formula1>"1,L,P,A"</x:formula1>
    </x:dataValidation>
    <x:dataValidation sqref="T8:AB2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9765625" customWidth="1"/>
    <x:col min="2" max="2" width="9.953125" customWidth="1"/>
    <x:col min="3" max="3" width="29.99609375" customWidth="1"/>
    <x:col min="4" max="4" width="22.05859375" customWidth="1"/>
    <x:col min="5" max="6" width="18.0234375" customWidth="1"/>
    <x:col min="7" max="9" width="13.046875" customWidth="1"/>
    <x:col min="10" max="10" width="9.953125" customWidth="1"/>
    <x:col min="11" max="11" width="11.97265625" customWidth="1"/>
    <x:col min="12" max="12" width="9.953125" customWidth="1"/>
    <x:col min="13" max="13" width="34.03125" customWidth="1"/>
    <x:col min="14" max="14" width="18.0234375" customWidth="1"/>
    <x:col min="15" max="16" width="9.953125" customWidth="1"/>
    <x:col min="17" max="17" width="32.015625" customWidth="1"/>
  </x:cols>
  <x:sheetData>
    <x:row r="1" ht="27.950000762939453" customHeight="1">
      <x:c r="A1" s="106" t="s">
        <x:v>183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</x:row>
    <x:row r="2">
      <x:c r="A2" s="107" t="s">
        <x:v>184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  <x:c r="Q2" s="107"/>
    </x:row>
    <x:row r="3">
      <x:c r="A3" s="108" t="s">
        <x:v>185</x:v>
      </x:c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  <x:c r="M3" s="108"/>
      <x:c r="N3" s="108"/>
      <x:c r="O3" s="108"/>
      <x:c r="P3" s="108"/>
      <x:c r="Q3" s="108"/>
    </x:row>
    <x:row r="5" ht="33.95000076293945" customHeight="1">
      <x:c r="A5" s="56" t="s">
        <x:v>16</x:v>
      </x:c>
      <x:c r="B5" s="57" t="s">
        <x:v>186</x:v>
      </x:c>
      <x:c r="C5" s="57" t="s">
        <x:v>187</x:v>
      </x:c>
      <x:c r="D5" s="57" t="s">
        <x:v>188</x:v>
      </x:c>
      <x:c r="E5" s="57" t="s">
        <x:v>189</x:v>
      </x:c>
      <x:c r="F5" s="57" t="s">
        <x:v>190</x:v>
      </x:c>
      <x:c r="G5" s="57" t="s">
        <x:v>191</x:v>
      </x:c>
      <x:c r="H5" s="57" t="s">
        <x:v>89</x:v>
      </x:c>
      <x:c r="I5" s="57" t="s">
        <x:v>192</x:v>
      </x:c>
      <x:c r="J5" s="57" t="s">
        <x:v>193</x:v>
      </x:c>
      <x:c r="K5" s="57" t="s">
        <x:v>194</x:v>
      </x:c>
      <x:c r="L5" s="57" t="s">
        <x:v>195</x:v>
      </x:c>
      <x:c r="M5" s="57" t="s">
        <x:v>196</x:v>
      </x:c>
      <x:c r="N5" s="57" t="s">
        <x:v>197</x:v>
      </x:c>
      <x:c r="O5" s="57" t="s">
        <x:v>198</x:v>
      </x:c>
      <x:c r="P5" s="57" t="s">
        <x:v>199</x:v>
      </x:c>
      <x:c r="Q5" s="58" t="s">
        <x:v>20</x:v>
      </x:c>
    </x:row>
    <x:row r="6" ht="32.099998474121094" customHeight="1">
      <x:c r="A6" s="59">
        <x:v>1</x:v>
      </x:c>
      <x:c r="B6" s="60" t="s">
        <x:v>200</x:v>
      </x:c>
      <x:c r="C6" s="60" t="s">
        <x:v>201</x:v>
      </x:c>
      <x:c r="D6" s="60" t="s">
        <x:v>202</x:v>
      </x:c>
      <x:c r="E6" s="60" t="s">
        <x:v>100</x:v>
      </x:c>
      <x:c r="F6" s="61" t="s">
        <x:v>173</x:v>
      </x:c>
      <x:c r="G6" s="62"/>
      <x:c r="H6" s="62"/>
      <x:c r="I6" s="62">
        <x:v>46168</x:v>
      </x:c>
      <x:c r="J6" s="60" t="s">
        <x:v>203</x:v>
      </x:c>
      <x:c r="K6" s="60" t="s">
        <x:v>204</x:v>
      </x:c>
      <x:c r="L6" s="63">
        <x:v>100</x:v>
      </x:c>
      <x:c r="M6" s="61" t="s">
        <x:v>205</x:v>
      </x:c>
      <x:c r="N6" s="60"/>
      <x:c r="O6" s="60"/>
      <x:c r="P6" s="60" t="str">
        <x:f ca="1">IF(H6="","",IF(I6&lt;&gt;"",MAX(0,I6-H6),IF(TODAY()&gt;H6,TODAY()-H6,0)))</x:f>
      </x:c>
      <x:c r="Q6" s="64" t="s">
        <x:v>206</x:v>
      </x:c>
    </x:row>
    <x:row r="7" ht="32.099998474121094" customHeight="1">
      <x:c r="A7" s="59">
        <x:v>2</x:v>
      </x:c>
      <x:c r="B7" s="60" t="s">
        <x:v>207</x:v>
      </x:c>
      <x:c r="C7" s="60" t="s">
        <x:v>208</x:v>
      </x:c>
      <x:c r="D7" s="60" t="s">
        <x:v>209</x:v>
      </x:c>
      <x:c r="E7" s="60" t="s">
        <x:v>100</x:v>
      </x:c>
      <x:c r="F7" s="61" t="s">
        <x:v>173</x:v>
      </x:c>
      <x:c r="G7" s="62"/>
      <x:c r="H7" s="62"/>
      <x:c r="I7" s="62">
        <x:v>46176</x:v>
      </x:c>
      <x:c r="J7" s="60" t="s">
        <x:v>203</x:v>
      </x:c>
      <x:c r="K7" s="60" t="s">
        <x:v>204</x:v>
      </x:c>
      <x:c r="L7" s="63">
        <x:v>100</x:v>
      </x:c>
      <x:c r="M7" s="61" t="s">
        <x:v>210</x:v>
      </x:c>
      <x:c r="N7" s="60"/>
      <x:c r="O7" s="60"/>
      <x:c r="P7" s="60" t="str">
        <x:f ca="1">IF(H7="","",IF(I7&lt;&gt;"",MAX(0,I7-H7),IF(TODAY()&gt;H7,TODAY()-H7,0)))</x:f>
      </x:c>
      <x:c r="Q7" s="64" t="s">
        <x:v>211</x:v>
      </x:c>
    </x:row>
    <x:row r="8" ht="32.099998474121094" customHeight="1">
      <x:c r="A8" s="59">
        <x:v>3</x:v>
      </x:c>
      <x:c r="B8" s="60" t="s">
        <x:v>212</x:v>
      </x:c>
      <x:c r="C8" s="60" t="s">
        <x:v>213</x:v>
      </x:c>
      <x:c r="D8" s="60" t="s">
        <x:v>214</x:v>
      </x:c>
      <x:c r="E8" s="60" t="s">
        <x:v>100</x:v>
      </x:c>
      <x:c r="F8" s="61" t="s">
        <x:v>173</x:v>
      </x:c>
      <x:c r="G8" s="62"/>
      <x:c r="H8" s="62"/>
      <x:c r="I8" s="62">
        <x:v>46182</x:v>
      </x:c>
      <x:c r="J8" s="60" t="s">
        <x:v>203</x:v>
      </x:c>
      <x:c r="K8" s="60" t="s">
        <x:v>204</x:v>
      </x:c>
      <x:c r="L8" s="63">
        <x:v>100</x:v>
      </x:c>
      <x:c r="M8" s="61" t="s">
        <x:v>215</x:v>
      </x:c>
      <x:c r="N8" s="60"/>
      <x:c r="O8" s="60"/>
      <x:c r="P8" s="60" t="str">
        <x:f ca="1">IF(H8="","",IF(I8&lt;&gt;"",MAX(0,I8-H8),IF(TODAY()&gt;H8,TODAY()-H8,0)))</x:f>
      </x:c>
      <x:c r="Q8" s="64" t="s">
        <x:v>216</x:v>
      </x:c>
    </x:row>
    <x:row r="9" ht="32.099998474121094" customHeight="1">
      <x:c r="A9" s="59">
        <x:v>4</x:v>
      </x:c>
      <x:c r="B9" s="60" t="s">
        <x:v>217</x:v>
      </x:c>
      <x:c r="C9" s="60" t="s">
        <x:v>218</x:v>
      </x:c>
      <x:c r="D9" s="60" t="s">
        <x:v>219</x:v>
      </x:c>
      <x:c r="E9" s="60" t="s">
        <x:v>100</x:v>
      </x:c>
      <x:c r="F9" s="61" t="s">
        <x:v>173</x:v>
      </x:c>
      <x:c r="G9" s="62"/>
      <x:c r="H9" s="62"/>
      <x:c r="I9" s="62">
        <x:v>46182</x:v>
      </x:c>
      <x:c r="J9" s="60" t="s">
        <x:v>203</x:v>
      </x:c>
      <x:c r="K9" s="60" t="s">
        <x:v>204</x:v>
      </x:c>
      <x:c r="L9" s="63">
        <x:v>100</x:v>
      </x:c>
      <x:c r="M9" s="61" t="s">
        <x:v>220</x:v>
      </x:c>
      <x:c r="N9" s="60"/>
      <x:c r="O9" s="60"/>
      <x:c r="P9" s="60" t="str">
        <x:f ca="1">IF(H9="","",IF(I9&lt;&gt;"",MAX(0,I9-H9),IF(TODAY()&gt;H9,TODAY()-H9,0)))</x:f>
      </x:c>
      <x:c r="Q9" s="64" t="s">
        <x:v>221</x:v>
      </x:c>
    </x:row>
    <x:row r="10" ht="32.099998474121094" customHeight="1">
      <x:c r="A10" s="59">
        <x:v>5</x:v>
      </x:c>
      <x:c r="B10" s="60" t="s">
        <x:v>222</x:v>
      </x:c>
      <x:c r="C10" s="60" t="s">
        <x:v>223</x:v>
      </x:c>
      <x:c r="D10" s="60" t="s">
        <x:v>224</x:v>
      </x:c>
      <x:c r="E10" s="60" t="s">
        <x:v>100</x:v>
      </x:c>
      <x:c r="F10" s="61" t="s">
        <x:v>173</x:v>
      </x:c>
      <x:c r="G10" s="62"/>
      <x:c r="H10" s="62"/>
      <x:c r="I10" s="62">
        <x:v>46183</x:v>
      </x:c>
      <x:c r="J10" s="60" t="s">
        <x:v>203</x:v>
      </x:c>
      <x:c r="K10" s="60" t="s">
        <x:v>204</x:v>
      </x:c>
      <x:c r="L10" s="63">
        <x:v>100</x:v>
      </x:c>
      <x:c r="M10" s="61" t="s">
        <x:v>225</x:v>
      </x:c>
      <x:c r="N10" s="60"/>
      <x:c r="O10" s="60"/>
      <x:c r="P10" s="60" t="str">
        <x:f ca="1">IF(H10="","",IF(I10&lt;&gt;"",MAX(0,I10-H10),IF(TODAY()&gt;H10,TODAY()-H10,0)))</x:f>
      </x:c>
      <x:c r="Q10" s="64" t="s">
        <x:v>226</x:v>
      </x:c>
    </x:row>
    <x:row r="11" ht="32.099998474121094" customHeight="1">
      <x:c r="A11" s="59">
        <x:v>6</x:v>
      </x:c>
      <x:c r="B11" s="60" t="s">
        <x:v>227</x:v>
      </x:c>
      <x:c r="C11" s="60" t="s">
        <x:v>228</x:v>
      </x:c>
      <x:c r="D11" s="60" t="s">
        <x:v>229</x:v>
      </x:c>
      <x:c r="E11" s="60" t="s">
        <x:v>100</x:v>
      </x:c>
      <x:c r="F11" s="61" t="s">
        <x:v>173</x:v>
      </x:c>
      <x:c r="G11" s="62"/>
      <x:c r="H11" s="62"/>
      <x:c r="I11" s="62">
        <x:v>46211</x:v>
      </x:c>
      <x:c r="J11" s="60" t="s">
        <x:v>203</x:v>
      </x:c>
      <x:c r="K11" s="60" t="s">
        <x:v>204</x:v>
      </x:c>
      <x:c r="L11" s="63">
        <x:v>100</x:v>
      </x:c>
      <x:c r="M11" s="61" t="s">
        <x:v>230</x:v>
      </x:c>
      <x:c r="N11" s="60"/>
      <x:c r="O11" s="60"/>
      <x:c r="P11" s="60" t="str">
        <x:f ca="1">IF(H11="","",IF(I11&lt;&gt;"",MAX(0,I11-H11),IF(TODAY()&gt;H11,TODAY()-H11,0)))</x:f>
      </x:c>
      <x:c r="Q11" s="64" t="s">
        <x:v>231</x:v>
      </x:c>
    </x:row>
    <x:row r="12" ht="32.099998474121094" customHeight="1">
      <x:c r="A12" s="59">
        <x:v>7</x:v>
      </x:c>
      <x:c r="B12" s="60" t="s">
        <x:v>232</x:v>
      </x:c>
      <x:c r="C12" s="60" t="s">
        <x:v>233</x:v>
      </x:c>
      <x:c r="D12" s="60" t="s">
        <x:v>234</x:v>
      </x:c>
      <x:c r="E12" s="60" t="s">
        <x:v>100</x:v>
      </x:c>
      <x:c r="F12" s="61" t="s">
        <x:v>173</x:v>
      </x:c>
      <x:c r="G12" s="62"/>
      <x:c r="H12" s="62"/>
      <x:c r="I12" s="62">
        <x:v>46224</x:v>
      </x:c>
      <x:c r="J12" s="60" t="s">
        <x:v>203</x:v>
      </x:c>
      <x:c r="K12" s="60" t="s">
        <x:v>204</x:v>
      </x:c>
      <x:c r="L12" s="63">
        <x:v>100</x:v>
      </x:c>
      <x:c r="M12" s="61" t="s">
        <x:v>235</x:v>
      </x:c>
      <x:c r="N12" s="60"/>
      <x:c r="O12" s="60"/>
      <x:c r="P12" s="60" t="str">
        <x:f ca="1">IF(H12="","",IF(I12&lt;&gt;"",MAX(0,I12-H12),IF(TODAY()&gt;H12,TODAY()-H12,0)))</x:f>
      </x:c>
      <x:c r="Q12" s="64" t="s">
        <x:v>236</x:v>
      </x:c>
    </x:row>
    <x:row r="13" ht="32.099998474121094" customHeight="1">
      <x:c r="A13" s="59">
        <x:v>8</x:v>
      </x:c>
      <x:c r="B13" s="60" t="s">
        <x:v>237</x:v>
      </x:c>
      <x:c r="C13" s="60" t="s">
        <x:v>238</x:v>
      </x:c>
      <x:c r="D13" s="60" t="s">
        <x:v>239</x:v>
      </x:c>
      <x:c r="E13" s="60" t="s">
        <x:v>100</x:v>
      </x:c>
      <x:c r="F13" s="61" t="s">
        <x:v>173</x:v>
      </x:c>
      <x:c r="G13" s="62"/>
      <x:c r="H13" s="62"/>
      <x:c r="I13" s="62">
        <x:v>46241</x:v>
      </x:c>
      <x:c r="J13" s="60" t="s">
        <x:v>203</x:v>
      </x:c>
      <x:c r="K13" s="60" t="s">
        <x:v>204</x:v>
      </x:c>
      <x:c r="L13" s="63">
        <x:v>100</x:v>
      </x:c>
      <x:c r="M13" s="61" t="s">
        <x:v>240</x:v>
      </x:c>
      <x:c r="N13" s="60"/>
      <x:c r="O13" s="60"/>
      <x:c r="P13" s="60" t="str">
        <x:f ca="1">IF(H13="","",IF(I13&lt;&gt;"",MAX(0,I13-H13),IF(TODAY()&gt;H13,TODAY()-H13,0)))</x:f>
      </x:c>
      <x:c r="Q13" s="64" t="s">
        <x:v>241</x:v>
      </x:c>
    </x:row>
    <x:row r="14" ht="32.099998474121094" customHeight="1">
      <x:c r="A14" s="59">
        <x:v>9</x:v>
      </x:c>
      <x:c r="B14" s="60" t="s">
        <x:v>242</x:v>
      </x:c>
      <x:c r="C14" s="60" t="s">
        <x:v>243</x:v>
      </x:c>
      <x:c r="D14" s="60" t="s">
        <x:v>244</x:v>
      </x:c>
      <x:c r="E14" s="60" t="s">
        <x:v>100</x:v>
      </x:c>
      <x:c r="F14" s="61" t="s">
        <x:v>173</x:v>
      </x:c>
      <x:c r="G14" s="62"/>
      <x:c r="H14" s="62"/>
      <x:c r="I14" s="62">
        <x:v>46241</x:v>
      </x:c>
      <x:c r="J14" s="60" t="s">
        <x:v>203</x:v>
      </x:c>
      <x:c r="K14" s="60" t="s">
        <x:v>204</x:v>
      </x:c>
      <x:c r="L14" s="63">
        <x:v>100</x:v>
      </x:c>
      <x:c r="M14" s="61" t="s">
        <x:v>245</x:v>
      </x:c>
      <x:c r="N14" s="60"/>
      <x:c r="O14" s="60"/>
      <x:c r="P14" s="60" t="str">
        <x:f ca="1">IF(H14="","",IF(I14&lt;&gt;"",MAX(0,I14-H14),IF(TODAY()&gt;H14,TODAY()-H14,0)))</x:f>
      </x:c>
      <x:c r="Q14" s="64" t="s">
        <x:v>246</x:v>
      </x:c>
    </x:row>
    <x:row r="15" ht="32.099998474121094" customHeight="1">
      <x:c r="A15" s="59">
        <x:v>10</x:v>
      </x:c>
      <x:c r="B15" s="60" t="s">
        <x:v>247</x:v>
      </x:c>
      <x:c r="C15" s="60" t="s">
        <x:v>248</x:v>
      </x:c>
      <x:c r="D15" s="60" t="s">
        <x:v>249</x:v>
      </x:c>
      <x:c r="E15" s="60" t="s">
        <x:v>100</x:v>
      </x:c>
      <x:c r="F15" s="61" t="s">
        <x:v>173</x:v>
      </x:c>
      <x:c r="G15" s="62"/>
      <x:c r="H15" s="62"/>
      <x:c r="I15" s="62">
        <x:v>46241</x:v>
      </x:c>
      <x:c r="J15" s="60" t="s">
        <x:v>203</x:v>
      </x:c>
      <x:c r="K15" s="60" t="s">
        <x:v>204</x:v>
      </x:c>
      <x:c r="L15" s="63">
        <x:v>100</x:v>
      </x:c>
      <x:c r="M15" s="61" t="s">
        <x:v>250</x:v>
      </x:c>
      <x:c r="N15" s="60"/>
      <x:c r="O15" s="60"/>
      <x:c r="P15" s="60" t="str">
        <x:f ca="1">IF(H15="","",IF(I15&lt;&gt;"",MAX(0,I15-H15),IF(TODAY()&gt;H15,TODAY()-H15,0)))</x:f>
      </x:c>
      <x:c r="Q15" s="64" t="s">
        <x:v>251</x:v>
      </x:c>
    </x:row>
    <x:row r="16" ht="32.099998474121094" customHeight="1">
      <x:c r="A16" s="59">
        <x:v>11</x:v>
      </x:c>
      <x:c r="B16" s="60" t="s">
        <x:v>252</x:v>
      </x:c>
      <x:c r="C16" s="60" t="s">
        <x:v>253</x:v>
      </x:c>
      <x:c r="D16" s="60" t="s">
        <x:v>254</x:v>
      </x:c>
      <x:c r="E16" s="60" t="s">
        <x:v>100</x:v>
      </x:c>
      <x:c r="F16" s="61" t="s">
        <x:v>173</x:v>
      </x:c>
      <x:c r="G16" s="62"/>
      <x:c r="H16" s="62"/>
      <x:c r="I16" s="62">
        <x:v>46244</x:v>
      </x:c>
      <x:c r="J16" s="60" t="s">
        <x:v>203</x:v>
      </x:c>
      <x:c r="K16" s="60" t="s">
        <x:v>204</x:v>
      </x:c>
      <x:c r="L16" s="63">
        <x:v>100</x:v>
      </x:c>
      <x:c r="M16" s="61" t="s">
        <x:v>255</x:v>
      </x:c>
      <x:c r="N16" s="60"/>
      <x:c r="O16" s="60"/>
      <x:c r="P16" s="60" t="str">
        <x:f ca="1">IF(H16="","",IF(I16&lt;&gt;"",MAX(0,I16-H16),IF(TODAY()&gt;H16,TODAY()-H16,0)))</x:f>
      </x:c>
      <x:c r="Q16" s="64" t="s">
        <x:v>256</x:v>
      </x:c>
    </x:row>
    <x:row r="17" ht="32.099998474121094" customHeight="1">
      <x:c r="A17" s="59">
        <x:v>12</x:v>
      </x:c>
      <x:c r="B17" s="60" t="s">
        <x:v>257</x:v>
      </x:c>
      <x:c r="C17" s="60" t="s">
        <x:v>258</x:v>
      </x:c>
      <x:c r="D17" s="60" t="s">
        <x:v>259</x:v>
      </x:c>
      <x:c r="E17" s="60" t="s">
        <x:v>104</x:v>
      </x:c>
      <x:c r="F17" s="61" t="s">
        <x:v>175</x:v>
      </x:c>
      <x:c r="G17" s="62"/>
      <x:c r="H17" s="62"/>
      <x:c r="I17" s="62">
        <x:v>46260</x:v>
      </x:c>
      <x:c r="J17" s="60" t="s">
        <x:v>203</x:v>
      </x:c>
      <x:c r="K17" s="60" t="s">
        <x:v>204</x:v>
      </x:c>
      <x:c r="L17" s="63">
        <x:v>100</x:v>
      </x:c>
      <x:c r="M17" s="61" t="s">
        <x:v>260</x:v>
      </x:c>
      <x:c r="N17" s="60"/>
      <x:c r="O17" s="60"/>
      <x:c r="P17" s="60" t="str">
        <x:f ca="1">IF(H17="","",IF(I17&lt;&gt;"",MAX(0,I17-H17),IF(TODAY()&gt;H17,TODAY()-H17,0)))</x:f>
      </x:c>
      <x:c r="Q17" s="64" t="s">
        <x:v>261</x:v>
      </x:c>
    </x:row>
    <x:row r="18" ht="32.099998474121094" customHeight="1">
      <x:c r="A18" s="59">
        <x:v>13</x:v>
      </x:c>
      <x:c r="B18" s="60" t="s">
        <x:v>262</x:v>
      </x:c>
      <x:c r="C18" s="60" t="s">
        <x:v>263</x:v>
      </x:c>
      <x:c r="D18" s="60" t="s">
        <x:v>264</x:v>
      </x:c>
      <x:c r="E18" s="60" t="s">
        <x:v>108</x:v>
      </x:c>
      <x:c r="F18" s="61" t="s">
        <x:v>177</x:v>
      </x:c>
      <x:c r="G18" s="62"/>
      <x:c r="H18" s="62"/>
      <x:c r="I18" s="62">
        <x:v>46265</x:v>
      </x:c>
      <x:c r="J18" s="60" t="s">
        <x:v>203</x:v>
      </x:c>
      <x:c r="K18" s="60" t="s">
        <x:v>204</x:v>
      </x:c>
      <x:c r="L18" s="63">
        <x:v>100</x:v>
      </x:c>
      <x:c r="M18" s="61" t="s">
        <x:v>265</x:v>
      </x:c>
      <x:c r="N18" s="60"/>
      <x:c r="O18" s="60"/>
      <x:c r="P18" s="60" t="str">
        <x:f ca="1">IF(H18="","",IF(I18&lt;&gt;"",MAX(0,I18-H18),IF(TODAY()&gt;H18,TODAY()-H18,0)))</x:f>
      </x:c>
      <x:c r="Q18" s="64" t="s">
        <x:v>266</x:v>
      </x:c>
    </x:row>
    <x:row r="19" ht="32.099998474121094" customHeight="1">
      <x:c r="A19" s="59">
        <x:v>14</x:v>
      </x:c>
      <x:c r="B19" s="60" t="s">
        <x:v>267</x:v>
      </x:c>
      <x:c r="C19" s="60" t="s">
        <x:v>268</x:v>
      </x:c>
      <x:c r="D19" s="60" t="s">
        <x:v>269</x:v>
      </x:c>
      <x:c r="E19" s="60" t="s">
        <x:v>108</x:v>
      </x:c>
      <x:c r="F19" s="61" t="s">
        <x:v>177</x:v>
      </x:c>
      <x:c r="G19" s="62"/>
      <x:c r="H19" s="62"/>
      <x:c r="I19" s="62">
        <x:v>46268</x:v>
      </x:c>
      <x:c r="J19" s="60" t="s">
        <x:v>203</x:v>
      </x:c>
      <x:c r="K19" s="60" t="s">
        <x:v>204</x:v>
      </x:c>
      <x:c r="L19" s="63">
        <x:v>100</x:v>
      </x:c>
      <x:c r="M19" s="61" t="s">
        <x:v>270</x:v>
      </x:c>
      <x:c r="N19" s="60"/>
      <x:c r="O19" s="60"/>
      <x:c r="P19" s="60" t="str">
        <x:f ca="1">IF(H19="","",IF(I19&lt;&gt;"",MAX(0,I19-H19),IF(TODAY()&gt;H19,TODAY()-H19,0)))</x:f>
      </x:c>
      <x:c r="Q19" s="64" t="s">
        <x:v>266</x:v>
      </x:c>
    </x:row>
    <x:row r="20" ht="32.099998474121094" customHeight="1">
      <x:c r="A20" s="59">
        <x:v>15</x:v>
      </x:c>
      <x:c r="B20" s="60" t="s">
        <x:v>271</x:v>
      </x:c>
      <x:c r="C20" s="60" t="s">
        <x:v>272</x:v>
      </x:c>
      <x:c r="D20" s="60" t="s">
        <x:v>273</x:v>
      </x:c>
      <x:c r="E20" s="60" t="s">
        <x:v>108</x:v>
      </x:c>
      <x:c r="F20" s="61" t="s">
        <x:v>177</x:v>
      </x:c>
      <x:c r="G20" s="62"/>
      <x:c r="H20" s="62"/>
      <x:c r="I20" s="62">
        <x:v>46271</x:v>
      </x:c>
      <x:c r="J20" s="60" t="s">
        <x:v>203</x:v>
      </x:c>
      <x:c r="K20" s="60" t="s">
        <x:v>204</x:v>
      </x:c>
      <x:c r="L20" s="63">
        <x:v>100</x:v>
      </x:c>
      <x:c r="M20" s="61" t="s">
        <x:v>274</x:v>
      </x:c>
      <x:c r="N20" s="60"/>
      <x:c r="O20" s="60"/>
      <x:c r="P20" s="60" t="str">
        <x:f ca="1">IF(H20="","",IF(I20&lt;&gt;"",MAX(0,I20-H20),IF(TODAY()&gt;H20,TODAY()-H20,0)))</x:f>
      </x:c>
      <x:c r="Q20" s="64" t="s">
        <x:v>275</x:v>
      </x:c>
    </x:row>
    <x:row r="21" ht="32.099998474121094" customHeight="1">
      <x:c r="A21" s="59">
        <x:v>16</x:v>
      </x:c>
      <x:c r="B21" s="60" t="s">
        <x:v>276</x:v>
      </x:c>
      <x:c r="C21" s="60" t="s">
        <x:v>277</x:v>
      </x:c>
      <x:c r="D21" s="60" t="s">
        <x:v>278</x:v>
      </x:c>
      <x:c r="E21" s="60" t="s">
        <x:v>104</x:v>
      </x:c>
      <x:c r="F21" s="61" t="s">
        <x:v>175</x:v>
      </x:c>
      <x:c r="G21" s="62"/>
      <x:c r="H21" s="62"/>
      <x:c r="I21" s="62">
        <x:v>46272</x:v>
      </x:c>
      <x:c r="J21" s="60" t="s">
        <x:v>203</x:v>
      </x:c>
      <x:c r="K21" s="60" t="s">
        <x:v>204</x:v>
      </x:c>
      <x:c r="L21" s="63">
        <x:v>100</x:v>
      </x:c>
      <x:c r="M21" s="61" t="s">
        <x:v>279</x:v>
      </x:c>
      <x:c r="N21" s="60"/>
      <x:c r="O21" s="60"/>
      <x:c r="P21" s="60" t="str">
        <x:f ca="1">IF(H21="","",IF(I21&lt;&gt;"",MAX(0,I21-H21),IF(TODAY()&gt;H21,TODAY()-H21,0)))</x:f>
      </x:c>
      <x:c r="Q21" s="64" t="s">
        <x:v>280</x:v>
      </x:c>
    </x:row>
    <x:row r="22" ht="32.099998474121094" customHeight="1">
      <x:c r="A22" s="59">
        <x:v>17</x:v>
      </x:c>
      <x:c r="B22" s="60" t="s">
        <x:v>281</x:v>
      </x:c>
      <x:c r="C22" s="60" t="s">
        <x:v>282</x:v>
      </x:c>
      <x:c r="D22" s="60" t="s">
        <x:v>278</x:v>
      </x:c>
      <x:c r="E22" s="60" t="s">
        <x:v>104</x:v>
      </x:c>
      <x:c r="F22" s="61" t="s">
        <x:v>175</x:v>
      </x:c>
      <x:c r="G22" s="62"/>
      <x:c r="H22" s="62"/>
      <x:c r="I22" s="62">
        <x:v>46273</x:v>
      </x:c>
      <x:c r="J22" s="60" t="s">
        <x:v>203</x:v>
      </x:c>
      <x:c r="K22" s="60" t="s">
        <x:v>204</x:v>
      </x:c>
      <x:c r="L22" s="63">
        <x:v>100</x:v>
      </x:c>
      <x:c r="M22" s="61" t="s">
        <x:v>283</x:v>
      </x:c>
      <x:c r="N22" s="60"/>
      <x:c r="O22" s="60"/>
      <x:c r="P22" s="60" t="str">
        <x:f ca="1">IF(H22="","",IF(I22&lt;&gt;"",MAX(0,I22-H22),IF(TODAY()&gt;H22,TODAY()-H22,0)))</x:f>
      </x:c>
      <x:c r="Q22" s="64" t="s">
        <x:v>261</x:v>
      </x:c>
    </x:row>
    <x:row r="23" ht="32.099998474121094" customHeight="1">
      <x:c r="A23" s="59">
        <x:v>18</x:v>
      </x:c>
      <x:c r="B23" s="60" t="s">
        <x:v>284</x:v>
      </x:c>
      <x:c r="C23" s="60" t="s">
        <x:v>285</x:v>
      </x:c>
      <x:c r="D23" s="60" t="s">
        <x:v>286</x:v>
      </x:c>
      <x:c r="E23" s="60" t="s">
        <x:v>108</x:v>
      </x:c>
      <x:c r="F23" s="61" t="s">
        <x:v>177</x:v>
      </x:c>
      <x:c r="G23" s="62"/>
      <x:c r="H23" s="62"/>
      <x:c r="I23" s="62">
        <x:v>46273</x:v>
      </x:c>
      <x:c r="J23" s="60" t="s">
        <x:v>203</x:v>
      </x:c>
      <x:c r="K23" s="60" t="s">
        <x:v>204</x:v>
      </x:c>
      <x:c r="L23" s="63">
        <x:v>100</x:v>
      </x:c>
      <x:c r="M23" s="61" t="s">
        <x:v>287</x:v>
      </x:c>
      <x:c r="N23" s="60"/>
      <x:c r="O23" s="60"/>
      <x:c r="P23" s="60" t="str">
        <x:f ca="1">IF(H23="","",IF(I23&lt;&gt;"",MAX(0,I23-H23),IF(TODAY()&gt;H23,TODAY()-H23,0)))</x:f>
      </x:c>
      <x:c r="Q23" s="64" t="s">
        <x:v>288</x:v>
      </x:c>
    </x:row>
    <x:row r="24" ht="32.099998474121094" customHeight="1">
      <x:c r="A24" s="59">
        <x:v>19</x:v>
      </x:c>
      <x:c r="B24" s="60" t="s">
        <x:v>289</x:v>
      </x:c>
      <x:c r="C24" s="60" t="s">
        <x:v>290</x:v>
      </x:c>
      <x:c r="D24" s="60" t="s">
        <x:v>291</x:v>
      </x:c>
      <x:c r="E24" s="60" t="s">
        <x:v>108</x:v>
      </x:c>
      <x:c r="F24" s="61" t="s">
        <x:v>177</x:v>
      </x:c>
      <x:c r="G24" s="62"/>
      <x:c r="H24" s="62"/>
      <x:c r="I24" s="62">
        <x:v>46273</x:v>
      </x:c>
      <x:c r="J24" s="60" t="s">
        <x:v>203</x:v>
      </x:c>
      <x:c r="K24" s="60" t="s">
        <x:v>204</x:v>
      </x:c>
      <x:c r="L24" s="63">
        <x:v>100</x:v>
      </x:c>
      <x:c r="M24" s="61" t="s">
        <x:v>292</x:v>
      </x:c>
      <x:c r="N24" s="60"/>
      <x:c r="O24" s="60"/>
      <x:c r="P24" s="60" t="str">
        <x:f ca="1">IF(H24="","",IF(I24&lt;&gt;"",MAX(0,I24-H24),IF(TODAY()&gt;H24,TODAY()-H24,0)))</x:f>
      </x:c>
      <x:c r="Q24" s="64" t="s">
        <x:v>293</x:v>
      </x:c>
    </x:row>
    <x:row r="25" ht="32.099998474121094" customHeight="1">
      <x:c r="A25" s="59">
        <x:v>20</x:v>
      </x:c>
      <x:c r="B25" s="60" t="s">
        <x:v>294</x:v>
      </x:c>
      <x:c r="C25" s="60" t="s">
        <x:v>295</x:v>
      </x:c>
      <x:c r="D25" s="60" t="s">
        <x:v>296</x:v>
      </x:c>
      <x:c r="E25" s="60" t="s">
        <x:v>297</x:v>
      </x:c>
      <x:c r="F25" s="61" t="s">
        <x:v>298</x:v>
      </x:c>
      <x:c r="G25" s="62">
        <x:v>46274</x:v>
      </x:c>
      <x:c r="H25" s="62">
        <x:v>46280</x:v>
      </x:c>
      <x:c r="I25" s="62"/>
      <x:c r="J25" s="60" t="s">
        <x:v>299</x:v>
      </x:c>
      <x:c r="K25" s="60" t="s">
        <x:v>300</x:v>
      </x:c>
      <x:c r="L25" s="63">
        <x:v>20</x:v>
      </x:c>
      <x:c r="M25" s="61" t="s">
        <x:v>301</x:v>
      </x:c>
      <x:c r="N25" s="60" t="s">
        <x:v>100</x:v>
      </x:c>
      <x:c r="O25" s="60"/>
      <x:c r="P25" s="60" t="n">
        <x:f ca="1">IF(H25="","",IF(I25&lt;&gt;"",MAX(0,I25-H25),IF(TODAY()&gt;H25,TODAY()-H25,0)))</x:f>
        <x:v>0</x:v>
      </x:c>
      <x:c r="Q25" s="64" t="s">
        <x:v>302</x:v>
      </x:c>
    </x:row>
    <x:row r="26" ht="32.099998474121094" customHeight="1">
      <x:c r="A26" s="59">
        <x:v>21</x:v>
      </x:c>
      <x:c r="B26" s="60" t="s">
        <x:v>303</x:v>
      </x:c>
      <x:c r="C26" s="60" t="s">
        <x:v>304</x:v>
      </x:c>
      <x:c r="D26" s="60" t="s">
        <x:v>305</x:v>
      </x:c>
      <x:c r="E26" s="60" t="s">
        <x:v>297</x:v>
      </x:c>
      <x:c r="F26" s="61" t="s">
        <x:v>298</x:v>
      </x:c>
      <x:c r="G26" s="62">
        <x:v>46274</x:v>
      </x:c>
      <x:c r="H26" s="62">
        <x:v>46287</x:v>
      </x:c>
      <x:c r="I26" s="62"/>
      <x:c r="J26" s="60" t="s">
        <x:v>306</x:v>
      </x:c>
      <x:c r="K26" s="60" t="s">
        <x:v>307</x:v>
      </x:c>
      <x:c r="L26" s="63">
        <x:v>0</x:v>
      </x:c>
      <x:c r="M26" s="61" t="s">
        <x:v>308</x:v>
      </x:c>
      <x:c r="N26" s="60" t="s">
        <x:v>309</x:v>
      </x:c>
      <x:c r="O26" s="60"/>
      <x:c r="P26" s="60" t="n">
        <x:f ca="1">IF(H26="","",IF(I26&lt;&gt;"",MAX(0,I26-H26),IF(TODAY()&gt;H26,TODAY()-H26,0)))</x:f>
        <x:v>0</x:v>
      </x:c>
      <x:c r="Q26" s="64" t="s">
        <x:v>310</x:v>
      </x:c>
    </x:row>
    <x:row r="27" ht="32.099998474121094" customHeight="1">
      <x:c r="A27" s="59">
        <x:v>22</x:v>
      </x:c>
      <x:c r="B27" s="60" t="s">
        <x:v>311</x:v>
      </x:c>
      <x:c r="C27" s="60" t="s">
        <x:v>312</x:v>
      </x:c>
      <x:c r="D27" s="60" t="s">
        <x:v>313</x:v>
      </x:c>
      <x:c r="E27" s="60" t="s">
        <x:v>297</x:v>
      </x:c>
      <x:c r="F27" s="61" t="s">
        <x:v>298</x:v>
      </x:c>
      <x:c r="G27" s="62">
        <x:v>46281</x:v>
      </x:c>
      <x:c r="H27" s="62">
        <x:v>46295</x:v>
      </x:c>
      <x:c r="I27" s="62"/>
      <x:c r="J27" s="60" t="s">
        <x:v>306</x:v>
      </x:c>
      <x:c r="K27" s="60" t="s">
        <x:v>307</x:v>
      </x:c>
      <x:c r="L27" s="63">
        <x:v>0</x:v>
      </x:c>
      <x:c r="M27" s="61" t="s">
        <x:v>314</x:v>
      </x:c>
      <x:c r="N27" s="60" t="s">
        <x:v>309</x:v>
      </x:c>
      <x:c r="O27" s="60"/>
      <x:c r="P27" s="60" t="n">
        <x:f ca="1">IF(H27="","",IF(I27&lt;&gt;"",MAX(0,I27-H27),IF(TODAY()&gt;H27,TODAY()-H27,0)))</x:f>
        <x:v>0</x:v>
      </x:c>
      <x:c r="Q27" s="64" t="s">
        <x:v>315</x:v>
      </x:c>
    </x:row>
    <x:row r="28" ht="32.099998474121094" customHeight="1">
      <x:c r="A28" s="59">
        <x:v>23</x:v>
      </x:c>
      <x:c r="B28" s="60" t="s">
        <x:v>316</x:v>
      </x:c>
      <x:c r="C28" s="60" t="s">
        <x:v>317</x:v>
      </x:c>
      <x:c r="D28" s="60" t="s">
        <x:v>318</x:v>
      </x:c>
      <x:c r="E28" s="60" t="s">
        <x:v>297</x:v>
      </x:c>
      <x:c r="F28" s="61" t="s">
        <x:v>298</x:v>
      </x:c>
      <x:c r="G28" s="62">
        <x:v>46288</x:v>
      </x:c>
      <x:c r="H28" s="62">
        <x:v>46301</x:v>
      </x:c>
      <x:c r="I28" s="62"/>
      <x:c r="J28" s="60" t="s">
        <x:v>299</x:v>
      </x:c>
      <x:c r="K28" s="60" t="s">
        <x:v>307</x:v>
      </x:c>
      <x:c r="L28" s="63">
        <x:v>0</x:v>
      </x:c>
      <x:c r="M28" s="61" t="s">
        <x:v>314</x:v>
      </x:c>
      <x:c r="N28" s="60" t="s">
        <x:v>309</x:v>
      </x:c>
      <x:c r="O28" s="60"/>
      <x:c r="P28" s="60" t="n">
        <x:f ca="1">IF(H28="","",IF(I28&lt;&gt;"",MAX(0,I28-H28),IF(TODAY()&gt;H28,TODAY()-H28,0)))</x:f>
        <x:v>0</x:v>
      </x:c>
      <x:c r="Q28" s="64" t="s">
        <x:v>319</x:v>
      </x:c>
    </x:row>
    <x:row r="29" ht="32.099998474121094" customHeight="1">
      <x:c r="A29" s="59">
        <x:v>24</x:v>
      </x:c>
      <x:c r="B29" s="60" t="s">
        <x:v>320</x:v>
      </x:c>
      <x:c r="C29" s="60" t="s">
        <x:v>321</x:v>
      </x:c>
      <x:c r="D29" s="60" t="s">
        <x:v>322</x:v>
      </x:c>
      <x:c r="E29" s="60" t="s">
        <x:v>297</x:v>
      </x:c>
      <x:c r="F29" s="61" t="s">
        <x:v>298</x:v>
      </x:c>
      <x:c r="G29" s="62">
        <x:v>46296</x:v>
      </x:c>
      <x:c r="H29" s="62">
        <x:v>46308</x:v>
      </x:c>
      <x:c r="I29" s="62"/>
      <x:c r="J29" s="60" t="s">
        <x:v>299</x:v>
      </x:c>
      <x:c r="K29" s="60" t="s">
        <x:v>307</x:v>
      </x:c>
      <x:c r="L29" s="63">
        <x:v>0</x:v>
      </x:c>
      <x:c r="M29" s="61" t="s">
        <x:v>323</x:v>
      </x:c>
      <x:c r="N29" s="60" t="s">
        <x:v>309</x:v>
      </x:c>
      <x:c r="O29" s="60"/>
      <x:c r="P29" s="60" t="n">
        <x:f ca="1">IF(H29="","",IF(I29&lt;&gt;"",MAX(0,I29-H29),IF(TODAY()&gt;H29,TODAY()-H29,0)))</x:f>
        <x:v>0</x:v>
      </x:c>
      <x:c r="Q29" s="64" t="s">
        <x:v>324</x:v>
      </x:c>
    </x:row>
    <x:row r="30" ht="32.099998474121094" customHeight="1">
      <x:c r="A30" s="59">
        <x:v>25</x:v>
      </x:c>
      <x:c r="B30" s="60" t="s">
        <x:v>325</x:v>
      </x:c>
      <x:c r="C30" s="60" t="s">
        <x:v>326</x:v>
      </x:c>
      <x:c r="D30" s="60" t="s">
        <x:v>327</x:v>
      </x:c>
      <x:c r="E30" s="60" t="s">
        <x:v>297</x:v>
      </x:c>
      <x:c r="F30" s="61" t="s">
        <x:v>298</x:v>
      </x:c>
      <x:c r="G30" s="62">
        <x:v>46302</x:v>
      </x:c>
      <x:c r="H30" s="62">
        <x:v>46315</x:v>
      </x:c>
      <x:c r="I30" s="62"/>
      <x:c r="J30" s="60" t="s">
        <x:v>306</x:v>
      </x:c>
      <x:c r="K30" s="60" t="s">
        <x:v>307</x:v>
      </x:c>
      <x:c r="L30" s="63">
        <x:v>0</x:v>
      </x:c>
      <x:c r="M30" s="61" t="s">
        <x:v>328</x:v>
      </x:c>
      <x:c r="N30" s="60" t="s">
        <x:v>309</x:v>
      </x:c>
      <x:c r="O30" s="60"/>
      <x:c r="P30" s="60" t="n">
        <x:f ca="1">IF(H30="","",IF(I30&lt;&gt;"",MAX(0,I30-H30),IF(TODAY()&gt;H30,TODAY()-H30,0)))</x:f>
        <x:v>0</x:v>
      </x:c>
      <x:c r="Q30" s="64" t="s">
        <x:v>329</x:v>
      </x:c>
    </x:row>
    <x:row r="31" ht="32.099998474121094" customHeight="1">
      <x:c r="A31" s="59">
        <x:v>26</x:v>
      </x:c>
      <x:c r="B31" s="60" t="s">
        <x:v>330</x:v>
      </x:c>
      <x:c r="C31" s="60" t="s">
        <x:v>331</x:v>
      </x:c>
      <x:c r="D31" s="60" t="s">
        <x:v>332</x:v>
      </x:c>
      <x:c r="E31" s="60" t="s">
        <x:v>297</x:v>
      </x:c>
      <x:c r="F31" s="61" t="s">
        <x:v>298</x:v>
      </x:c>
      <x:c r="G31" s="62">
        <x:v>46309</x:v>
      </x:c>
      <x:c r="H31" s="62">
        <x:v>46322</x:v>
      </x:c>
      <x:c r="I31" s="62"/>
      <x:c r="J31" s="60" t="s">
        <x:v>299</x:v>
      </x:c>
      <x:c r="K31" s="60" t="s">
        <x:v>307</x:v>
      </x:c>
      <x:c r="L31" s="63">
        <x:v>0</x:v>
      </x:c>
      <x:c r="M31" s="61" t="s">
        <x:v>333</x:v>
      </x:c>
      <x:c r="N31" s="60" t="s">
        <x:v>309</x:v>
      </x:c>
      <x:c r="O31" s="60"/>
      <x:c r="P31" s="60" t="n">
        <x:f ca="1">IF(H31="","",IF(I31&lt;&gt;"",MAX(0,I31-H31),IF(TODAY()&gt;H31,TODAY()-H31,0)))</x:f>
        <x:v>0</x:v>
      </x:c>
      <x:c r="Q31" s="64" t="s">
        <x:v>334</x:v>
      </x:c>
    </x:row>
    <x:row r="32" ht="32.099998474121094" customHeight="1">
      <x:c r="A32" s="59">
        <x:v>27</x:v>
      </x:c>
      <x:c r="B32" s="60" t="s">
        <x:v>335</x:v>
      </x:c>
      <x:c r="C32" s="60" t="s">
        <x:v>336</x:v>
      </x:c>
      <x:c r="D32" s="60" t="s">
        <x:v>337</x:v>
      </x:c>
      <x:c r="E32" s="60" t="s">
        <x:v>297</x:v>
      </x:c>
      <x:c r="F32" s="61" t="s">
        <x:v>298</x:v>
      </x:c>
      <x:c r="G32" s="62">
        <x:v>46316</x:v>
      </x:c>
      <x:c r="H32" s="62">
        <x:v>46329</x:v>
      </x:c>
      <x:c r="I32" s="62"/>
      <x:c r="J32" s="60" t="s">
        <x:v>299</x:v>
      </x:c>
      <x:c r="K32" s="60" t="s">
        <x:v>307</x:v>
      </x:c>
      <x:c r="L32" s="63">
        <x:v>0</x:v>
      </x:c>
      <x:c r="M32" s="61" t="s">
        <x:v>338</x:v>
      </x:c>
      <x:c r="N32" s="60" t="s">
        <x:v>309</x:v>
      </x:c>
      <x:c r="O32" s="60"/>
      <x:c r="P32" s="60" t="n">
        <x:f ca="1">IF(H32="","",IF(I32&lt;&gt;"",MAX(0,I32-H32),IF(TODAY()&gt;H32,TODAY()-H32,0)))</x:f>
        <x:v>0</x:v>
      </x:c>
      <x:c r="Q32" s="64" t="s">
        <x:v>339</x:v>
      </x:c>
    </x:row>
    <x:row r="33" ht="32.099998474121094" customHeight="1">
      <x:c r="A33" s="59">
        <x:v>28</x:v>
      </x:c>
      <x:c r="B33" s="60" t="s">
        <x:v>340</x:v>
      </x:c>
      <x:c r="C33" s="60" t="s">
        <x:v>341</x:v>
      </x:c>
      <x:c r="D33" s="60" t="s">
        <x:v>249</x:v>
      </x:c>
      <x:c r="E33" s="60" t="s">
        <x:v>297</x:v>
      </x:c>
      <x:c r="F33" s="61" t="s">
        <x:v>298</x:v>
      </x:c>
      <x:c r="G33" s="62">
        <x:v>46327</x:v>
      </x:c>
      <x:c r="H33" s="62">
        <x:v>46336</x:v>
      </x:c>
      <x:c r="I33" s="62"/>
      <x:c r="J33" s="60" t="s">
        <x:v>306</x:v>
      </x:c>
      <x:c r="K33" s="60" t="s">
        <x:v>307</x:v>
      </x:c>
      <x:c r="L33" s="63">
        <x:v>0</x:v>
      </x:c>
      <x:c r="M33" s="61" t="s">
        <x:v>342</x:v>
      </x:c>
      <x:c r="N33" s="60" t="s">
        <x:v>343</x:v>
      </x:c>
      <x:c r="O33" s="60"/>
      <x:c r="P33" s="60" t="n">
        <x:f ca="1">IF(H33="","",IF(I33&lt;&gt;"",MAX(0,I33-H33),IF(TODAY()&gt;H33,TODAY()-H33,0)))</x:f>
        <x:v>0</x:v>
      </x:c>
      <x:c r="Q33" s="64" t="s">
        <x:v>344</x:v>
      </x:c>
    </x:row>
    <x:row r="34" ht="32.099998474121094" customHeight="1">
      <x:c r="A34" s="59">
        <x:v>29</x:v>
      </x:c>
      <x:c r="B34" s="60" t="s">
        <x:v>345</x:v>
      </x:c>
      <x:c r="C34" s="60" t="s">
        <x:v>346</x:v>
      </x:c>
      <x:c r="D34" s="60" t="s">
        <x:v>347</x:v>
      </x:c>
      <x:c r="E34" s="60" t="s">
        <x:v>297</x:v>
      </x:c>
      <x:c r="F34" s="61" t="s">
        <x:v>298</x:v>
      </x:c>
      <x:c r="G34" s="62">
        <x:v>46331</x:v>
      </x:c>
      <x:c r="H34" s="62">
        <x:v>46343</x:v>
      </x:c>
      <x:c r="I34" s="62"/>
      <x:c r="J34" s="60" t="s">
        <x:v>78</x:v>
      </x:c>
      <x:c r="K34" s="60" t="s">
        <x:v>307</x:v>
      </x:c>
      <x:c r="L34" s="63">
        <x:v>0</x:v>
      </x:c>
      <x:c r="M34" s="61" t="s">
        <x:v>348</x:v>
      </x:c>
      <x:c r="N34" s="60" t="s">
        <x:v>343</x:v>
      </x:c>
      <x:c r="O34" s="60"/>
      <x:c r="P34" s="60" t="n">
        <x:f ca="1">IF(H34="","",IF(I34&lt;&gt;"",MAX(0,I34-H34),IF(TODAY()&gt;H34,TODAY()-H34,0)))</x:f>
        <x:v>0</x:v>
      </x:c>
      <x:c r="Q34" s="64" t="s">
        <x:v>349</x:v>
      </x:c>
    </x:row>
    <x:row r="35" ht="32.099998474121094" customHeight="1">
      <x:c r="A35" s="59">
        <x:v>30</x:v>
      </x:c>
      <x:c r="B35" s="60" t="s">
        <x:v>350</x:v>
      </x:c>
      <x:c r="C35" s="60" t="s">
        <x:v>351</x:v>
      </x:c>
      <x:c r="D35" s="60" t="s">
        <x:v>352</x:v>
      </x:c>
      <x:c r="E35" s="60" t="s">
        <x:v>297</x:v>
      </x:c>
      <x:c r="F35" s="61" t="s">
        <x:v>298</x:v>
      </x:c>
      <x:c r="G35" s="62">
        <x:v>46337</x:v>
      </x:c>
      <x:c r="H35" s="62">
        <x:v>46350</x:v>
      </x:c>
      <x:c r="I35" s="62"/>
      <x:c r="J35" s="60" t="s">
        <x:v>299</x:v>
      </x:c>
      <x:c r="K35" s="60" t="s">
        <x:v>307</x:v>
      </x:c>
      <x:c r="L35" s="63">
        <x:v>0</x:v>
      </x:c>
      <x:c r="M35" s="61" t="s">
        <x:v>353</x:v>
      </x:c>
      <x:c r="N35" s="60" t="s">
        <x:v>100</x:v>
      </x:c>
      <x:c r="O35" s="60"/>
      <x:c r="P35" s="60" t="n">
        <x:f ca="1">IF(H35="","",IF(I35&lt;&gt;"",MAX(0,I35-H35),IF(TODAY()&gt;H35,TODAY()-H35,0)))</x:f>
        <x:v>0</x:v>
      </x:c>
      <x:c r="Q35" s="64" t="s">
        <x:v>354</x:v>
      </x:c>
    </x:row>
    <x:row r="36" ht="32.099998474121094" customHeight="1">
      <x:c r="A36" s="59">
        <x:v>31</x:v>
      </x:c>
      <x:c r="B36" s="60" t="s">
        <x:v>355</x:v>
      </x:c>
      <x:c r="C36" s="60" t="s">
        <x:v>356</x:v>
      </x:c>
      <x:c r="D36" s="60" t="s">
        <x:v>357</x:v>
      </x:c>
      <x:c r="E36" s="60" t="s">
        <x:v>297</x:v>
      </x:c>
      <x:c r="F36" s="61" t="s">
        <x:v>298</x:v>
      </x:c>
      <x:c r="G36" s="62">
        <x:v>46344</x:v>
      </x:c>
      <x:c r="H36" s="62">
        <x:v>46353</x:v>
      </x:c>
      <x:c r="I36" s="62"/>
      <x:c r="J36" s="60" t="s">
        <x:v>299</x:v>
      </x:c>
      <x:c r="K36" s="60" t="s">
        <x:v>307</x:v>
      </x:c>
      <x:c r="L36" s="63">
        <x:v>0</x:v>
      </x:c>
      <x:c r="M36" s="61" t="s">
        <x:v>358</x:v>
      </x:c>
      <x:c r="N36" s="60" t="s">
        <x:v>100</x:v>
      </x:c>
      <x:c r="O36" s="60"/>
      <x:c r="P36" s="60" t="n">
        <x:f ca="1">IF(H36="","",IF(I36&lt;&gt;"",MAX(0,I36-H36),IF(TODAY()&gt;H36,TODAY()-H36,0)))</x:f>
        <x:v>0</x:v>
      </x:c>
      <x:c r="Q36" s="64" t="s">
        <x:v>359</x:v>
      </x:c>
    </x:row>
    <x:row r="37" ht="32.099998474121094" customHeight="1">
      <x:c r="A37" s="59">
        <x:v>32</x:v>
      </x:c>
      <x:c r="B37" s="60" t="s">
        <x:v>360</x:v>
      </x:c>
      <x:c r="C37" s="60" t="s">
        <x:v>361</x:v>
      </x:c>
      <x:c r="D37" s="60" t="s">
        <x:v>362</x:v>
      </x:c>
      <x:c r="E37" s="60" t="s">
        <x:v>297</x:v>
      </x:c>
      <x:c r="F37" s="61" t="s">
        <x:v>298</x:v>
      </x:c>
      <x:c r="G37" s="62">
        <x:v>46351</x:v>
      </x:c>
      <x:c r="H37" s="62">
        <x:v>46357</x:v>
      </x:c>
      <x:c r="I37" s="62"/>
      <x:c r="J37" s="60" t="s">
        <x:v>306</x:v>
      </x:c>
      <x:c r="K37" s="60" t="s">
        <x:v>307</x:v>
      </x:c>
      <x:c r="L37" s="63">
        <x:v>0</x:v>
      </x:c>
      <x:c r="M37" s="61" t="s">
        <x:v>363</x:v>
      </x:c>
      <x:c r="N37" s="60" t="s">
        <x:v>100</x:v>
      </x:c>
      <x:c r="O37" s="60"/>
      <x:c r="P37" s="60" t="n">
        <x:f ca="1">IF(H37="","",IF(I37&lt;&gt;"",MAX(0,I37-H37),IF(TODAY()&gt;H37,TODAY()-H37,0)))</x:f>
        <x:v>0</x:v>
      </x:c>
      <x:c r="Q37" s="64" t="s">
        <x:v>364</x:v>
      </x:c>
    </x:row>
    <x:row r="38" ht="37.5">
      <x:c r="A38" s="59">
        <x:v>33</x:v>
      </x:c>
      <x:c r="B38" s="60" t="s">
        <x:v>365</x:v>
      </x:c>
      <x:c r="C38" s="60" t="s">
        <x:v>366</x:v>
      </x:c>
      <x:c r="D38" s="60" t="s">
        <x:v>367</x:v>
      </x:c>
      <x:c r="E38" s="60" t="s">
        <x:v>104</x:v>
      </x:c>
      <x:c r="F38" s="61" t="s">
        <x:v>175</x:v>
      </x:c>
      <x:c r="G38" s="62">
        <x:v>46275</x:v>
      </x:c>
      <x:c r="H38" s="62">
        <x:v>46278</x:v>
      </x:c>
      <x:c r="I38" s="62">
        <x:v>46278</x:v>
      </x:c>
      <x:c r="J38" s="60" t="s">
        <x:v>299</x:v>
      </x:c>
      <x:c r="K38" s="60" t="s">
        <x:v>204</x:v>
      </x:c>
      <x:c r="L38" s="63">
        <x:v>100</x:v>
      </x:c>
      <x:c r="M38" s="61" t="s">
        <x:v>368</x:v>
      </x:c>
      <x:c r="N38" s="60" t="s">
        <x:v>100</x:v>
      </x:c>
      <x:c r="O38" s="60"/>
      <x:c r="P38" s="91" t="n">
        <x:f ca="1">IF(H38="","",IF(I38&lt;&gt;"",MAX(0,I38-H38),IF(TODAY()&gt;H38,TODAY()-H38,0)))</x:f>
        <x:v>0</x:v>
      </x:c>
      <x:c r="Q38" s="64" t="s">
        <x:v>369</x:v>
      </x:c>
    </x:row>
    <x:row r="39" ht="37.5">
      <x:c r="A39" s="59">
        <x:v>34</x:v>
      </x:c>
      <x:c r="B39" s="60" t="s">
        <x:v>370</x:v>
      </x:c>
      <x:c r="C39" s="60" t="s">
        <x:v>371</x:v>
      </x:c>
      <x:c r="D39" s="60" t="s">
        <x:v>372</x:v>
      </x:c>
      <x:c r="E39" s="60" t="s">
        <x:v>118</x:v>
      </x:c>
      <x:c r="F39" s="61" t="s">
        <x:v>119</x:v>
      </x:c>
      <x:c r="G39" s="62">
        <x:v>46275</x:v>
      </x:c>
      <x:c r="H39" s="62">
        <x:v>46278</x:v>
      </x:c>
      <x:c r="I39" s="62">
        <x:v>46278</x:v>
      </x:c>
      <x:c r="J39" s="60" t="s">
        <x:v>299</x:v>
      </x:c>
      <x:c r="K39" s="60" t="s">
        <x:v>204</x:v>
      </x:c>
      <x:c r="L39" s="63">
        <x:v>100</x:v>
      </x:c>
      <x:c r="M39" s="61" t="s">
        <x:v>373</x:v>
      </x:c>
      <x:c r="N39" s="60" t="s">
        <x:v>100</x:v>
      </x:c>
      <x:c r="O39" s="60"/>
      <x:c r="P39" s="91" t="n">
        <x:f ca="1">IF(H39="","",IF(I39&lt;&gt;"",MAX(0,I39-H39),IF(TODAY()&gt;H39,TODAY()-H39,0)))</x:f>
        <x:v>0</x:v>
      </x:c>
      <x:c r="Q39" s="64" t="s">
        <x:v>374</x:v>
      </x:c>
    </x:row>
    <x:row r="40" ht="37.5">
      <x:c r="A40" s="59">
        <x:v>35</x:v>
      </x:c>
      <x:c r="B40" s="60" t="s">
        <x:v>375</x:v>
      </x:c>
      <x:c r="C40" s="60" t="s">
        <x:v>376</x:v>
      </x:c>
      <x:c r="D40" s="60" t="s">
        <x:v>377</x:v>
      </x:c>
      <x:c r="E40" s="60" t="s">
        <x:v>108</x:v>
      </x:c>
      <x:c r="F40" s="61" t="s">
        <x:v>177</x:v>
      </x:c>
      <x:c r="G40" s="62">
        <x:v>46275</x:v>
      </x:c>
      <x:c r="H40" s="62">
        <x:v>46278</x:v>
      </x:c>
      <x:c r="I40" s="62"/>
      <x:c r="J40" s="60" t="s">
        <x:v>299</x:v>
      </x:c>
      <x:c r="K40" s="60" t="s">
        <x:v>378</x:v>
      </x:c>
      <x:c r="L40" s="63">
        <x:v>0</x:v>
      </x:c>
      <x:c r="M40" s="61" t="s">
        <x:v>379</x:v>
      </x:c>
      <x:c r="N40" s="60" t="s">
        <x:v>100</x:v>
      </x:c>
      <x:c r="O40" s="60"/>
      <x:c r="P40" s="91" t="n">
        <x:f ca="1">IF(H40="","",IF(I40&lt;&gt;"",MAX(0,I40-H40),IF(TODAY()&gt;H40,TODAY()-H40,0)))</x:f>
        <x:v>1</x:v>
      </x:c>
      <x:c r="Q40" s="64" t="s">
        <x:v>380</x:v>
      </x:c>
    </x:row>
    <x:row r="41" ht="37.5">
      <x:c r="A41" s="59">
        <x:v>36</x:v>
      </x:c>
      <x:c r="B41" s="60" t="s">
        <x:v>381</x:v>
      </x:c>
      <x:c r="C41" s="60" t="s">
        <x:v>382</x:v>
      </x:c>
      <x:c r="D41" s="60" t="s">
        <x:v>383</x:v>
      </x:c>
      <x:c r="E41" s="60" t="s">
        <x:v>112</x:v>
      </x:c>
      <x:c r="F41" s="61" t="s">
        <x:v>113</x:v>
      </x:c>
      <x:c r="G41" s="62">
        <x:v>46275</x:v>
      </x:c>
      <x:c r="H41" s="62">
        <x:v>46278</x:v>
      </x:c>
      <x:c r="I41" s="62"/>
      <x:c r="J41" s="60" t="s">
        <x:v>299</x:v>
      </x:c>
      <x:c r="K41" s="60" t="s">
        <x:v>378</x:v>
      </x:c>
      <x:c r="L41" s="63">
        <x:v>0</x:v>
      </x:c>
      <x:c r="M41" s="61" t="s">
        <x:v>384</x:v>
      </x:c>
      <x:c r="N41" s="60" t="s">
        <x:v>100</x:v>
      </x:c>
      <x:c r="O41" s="60"/>
      <x:c r="P41" s="91" t="n">
        <x:f ca="1">IF(H41="","",IF(I41&lt;&gt;"",MAX(0,I41-H41),IF(TODAY()&gt;H41,TODAY()-H41,0)))</x:f>
        <x:v>1</x:v>
      </x:c>
      <x:c r="Q41" s="64" t="s">
        <x:v>380</x:v>
      </x:c>
    </x:row>
    <x:row r="42" ht="90.75">
      <x:c r="A42" s="59">
        <x:v>37</x:v>
      </x:c>
      <x:c r="B42" s="60" t="s">
        <x:v>385</x:v>
      </x:c>
      <x:c r="C42" s="60" t="s">
        <x:v>386</x:v>
      </x:c>
      <x:c r="D42" s="60" t="s">
        <x:v>387</x:v>
      </x:c>
      <x:c r="E42" s="60" t="s">
        <x:v>116</x:v>
      </x:c>
      <x:c r="F42" s="61" t="s">
        <x:v>117</x:v>
      </x:c>
      <x:c r="G42" s="62">
        <x:v>46275</x:v>
      </x:c>
      <x:c r="H42" s="62">
        <x:v>46278</x:v>
      </x:c>
      <x:c r="I42" s="62">
        <x:v>46278</x:v>
      </x:c>
      <x:c r="J42" s="60" t="s">
        <x:v>299</x:v>
      </x:c>
      <x:c r="K42" s="60" t="s">
        <x:v>204</x:v>
      </x:c>
      <x:c r="L42" s="63">
        <x:v>100</x:v>
      </x:c>
      <x:c r="M42" s="61" t="s">
        <x:v>388</x:v>
      </x:c>
      <x:c r="N42" s="60" t="s">
        <x:v>100</x:v>
      </x:c>
      <x:c r="O42" s="60"/>
      <x:c r="P42" s="91" t="n">
        <x:f ca="1">IF(H42="","",IF(I42&lt;&gt;"",MAX(0,I42-H42),IF(TODAY()&gt;H42,TODAY()-H42,0)))</x:f>
        <x:v>0</x:v>
      </x:c>
      <x:c r="Q42" s="64" t="s">
        <x:v>389</x:v>
      </x:c>
    </x:row>
    <x:row r="43">
      <x:c r="A43" s="59" t="n">
        <x:v>38</x:v>
      </x:c>
      <x:c r="B43" s="60" t="str">
        <x:v>W2-001</x:v>
      </x:c>
      <x:c r="C43" s="60" t="str">
        <x:v>Backend Security + OWASP Verification</x:v>
      </x:c>
      <x:c r="D43" s="60" t="str">
        <x:v>Backend / Security / OWASP</x:v>
      </x:c>
      <x:c r="E43" s="60" t="str">
        <x:v>ឡាំ គីមឡុង</x:v>
      </x:c>
      <x:c r="F43" s="61" t="str">
        <x:v>Lam Kimlong</x:v>
      </x:c>
      <x:c r="G43" s="291" t="n">
        <x:v>46279</x:v>
      </x:c>
      <x:c r="H43" s="291" t="n">
        <x:v>46285</x:v>
      </x:c>
      <x:c r="I43" s="291"/>
      <x:c r="J43" s="60" t="str">
        <x:v>ខ្ពស់</x:v>
      </x:c>
      <x:c r="K43" s="60" t="str">
        <x:v>គ្រោង</x:v>
      </x:c>
      <x:c r="L43" s="63" t="n">
        <x:v>0</x:v>
      </x:c>
      <x:c r="M43" s="61" t="str">
        <x:v>OWASP report + PR/commit + mvn test/package output + video/screenshots</x:v>
      </x:c>
      <x:c r="N43" s="60" t="str">
        <x:v>កឿង វីរៈ</x:v>
      </x:c>
      <x:c r="O43" s="60"/>
      <x:c r="P43" s="60" t="n">
        <x:f ca="1">IF(H43="","",IF(I43&lt;&gt;"",MAX(0,I43-H43),IF(TODAY()&gt;H43,TODAY()-H43,0)))</x:f>
        <x:v>0</x:v>
      </x:c>
      <x:c r="Q43" s="64" t="str">
        <x:v>Checkpoint 19-Sep-2026 18:00 | Own assignment only</x:v>
      </x:c>
    </x:row>
    <x:row r="44">
      <x:c r="A44" s="59" t="n">
        <x:v>39</x:v>
      </x:c>
      <x:c r="B44" s="60" t="str">
        <x:v>W2-002</x:v>
      </x:c>
      <x:c r="C44" s="60" t="str">
        <x:v>Payment + Telegram End-to-End Testing</x:v>
      </x:c>
      <x:c r="D44" s="60" t="str">
        <x:v>Backend / Payment / Telegram</x:v>
      </x:c>
      <x:c r="E44" s="60" t="str">
        <x:v>គុយ ដាលី</x:v>
      </x:c>
      <x:c r="F44" s="61" t="str">
        <x:v>Kuy Daly</x:v>
      </x:c>
      <x:c r="G44" s="291" t="n">
        <x:v>46279</x:v>
      </x:c>
      <x:c r="H44" s="291" t="n">
        <x:v>46285</x:v>
      </x:c>
      <x:c r="I44" s="291"/>
      <x:c r="J44" s="60" t="str">
        <x:v>ខ្ពស់</x:v>
      </x:c>
      <x:c r="K44" s="60" t="str">
        <x:v>គ្រោង</x:v>
      </x:c>
      <x:c r="L44" s="63" t="n">
        <x:v>0</x:v>
      </x:c>
      <x:c r="M44" s="61" t="str">
        <x:v>Postman/mock + PR/commit + test output + Telegram video/report</x:v>
      </x:c>
      <x:c r="N44" s="60" t="str">
        <x:v>កឿង វីរៈ</x:v>
      </x:c>
      <x:c r="O44" s="60"/>
      <x:c r="P44" s="60" t="n">
        <x:f ca="1">IF(H44="","",IF(I44&lt;&gt;"",MAX(0,I44-H44),IF(TODAY()&gt;H44,TODAY()-H44,0)))</x:f>
        <x:v>0</x:v>
      </x:c>
      <x:c r="Q44" s="64" t="str">
        <x:v>Checkpoint 19-Sep-2026 18:00 | Own assignment only</x:v>
      </x:c>
    </x:row>
    <x:row r="45">
      <x:c r="A45" s="59" t="n">
        <x:v>40</x:v>
      </x:c>
      <x:c r="B45" s="60" t="str">
        <x:v>W2-003</x:v>
      </x:c>
      <x:c r="C45" s="60" t="str">
        <x:v>Frontend Integration + Priority Bug Fixes</x:v>
      </x:c>
      <x:c r="D45" s="60" t="str">
        <x:v>Frontend / User / Admin</x:v>
      </x:c>
      <x:c r="E45" s="60" t="str">
        <x:v>នី បញ្ញា</x:v>
      </x:c>
      <x:c r="F45" s="61" t="str">
        <x:v>Ny Panha</x:v>
      </x:c>
      <x:c r="G45" s="291" t="n">
        <x:v>46279</x:v>
      </x:c>
      <x:c r="H45" s="291" t="n">
        <x:v>46285</x:v>
      </x:c>
      <x:c r="I45" s="291"/>
      <x:c r="J45" s="60" t="str">
        <x:v>ខ្ពស់</x:v>
      </x:c>
      <x:c r="K45" s="60" t="str">
        <x:v>គ្រោង</x:v>
      </x:c>
      <x:c r="L45" s="63" t="n">
        <x:v>0</x:v>
      </x:c>
      <x:c r="M45" s="61" t="str">
        <x:v>Own PR/commit + screenshots + lint/build/test + demo video</x:v>
      </x:c>
      <x:c r="N45" s="60" t="str">
        <x:v>កឿង វីរៈ</x:v>
      </x:c>
      <x:c r="O45" s="60"/>
      <x:c r="P45" s="60" t="n">
        <x:f ca="1">IF(H45="","",IF(I45&lt;&gt;"",MAX(0,I45-H45),IF(TODAY()&gt;H45,TODAY()-H45,0)))</x:f>
        <x:v>0</x:v>
      </x:c>
      <x:c r="Q45" s="64" t="str">
        <x:v>Checkpoint 19-Sep-2026 18:00 | Own assignment only</x:v>
      </x:c>
    </x:row>
    <x:row r="46">
      <x:c r="A46" s="59" t="n">
        <x:v>41</x:v>
      </x:c>
      <x:c r="B46" s="60" t="str">
        <x:v>W2-004</x:v>
      </x:c>
      <x:c r="C46" s="60" t="str">
        <x:v>Responsive + Accessibility Improvement</x:v>
      </x:c>
      <x:c r="D46" s="60" t="str">
        <x:v>Frontend / User / UX / A11y</x:v>
      </x:c>
      <x:c r="E46" s="60" t="str">
        <x:v>គក់ ស្រីផ្កាយ</x:v>
      </x:c>
      <x:c r="F46" s="61" t="str">
        <x:v>Kouk SreyPkay</x:v>
      </x:c>
      <x:c r="G46" s="291" t="n">
        <x:v>46279</x:v>
      </x:c>
      <x:c r="H46" s="291" t="n">
        <x:v>46285</x:v>
      </x:c>
      <x:c r="I46" s="291"/>
      <x:c r="J46" s="60" t="str">
        <x:v>ខ្ពស់</x:v>
      </x:c>
      <x:c r="K46" s="60" t="str">
        <x:v>គ្រោង</x:v>
      </x:c>
      <x:c r="L46" s="63" t="n">
        <x:v>0</x:v>
      </x:c>
      <x:c r="M46" s="61" t="str">
        <x:v>Own PR/commit + 360/390/412 screenshots + QA checklist + build</x:v>
      </x:c>
      <x:c r="N46" s="60" t="str">
        <x:v>កឿង វីរៈ</x:v>
      </x:c>
      <x:c r="O46" s="60"/>
      <x:c r="P46" s="60" t="n">
        <x:f ca="1">IF(H46="","",IF(I46&lt;&gt;"",MAX(0,I46-H46),IF(TODAY()&gt;H46,TODAY()-H46,0)))</x:f>
        <x:v>0</x:v>
      </x:c>
      <x:c r="Q46" s="64" t="str">
        <x:v>Checkpoint 19-Sep-2026 18:00 | Own assignment only</x:v>
      </x:c>
    </x:row>
    <x:row r="47">
      <x:c r="A47" s="59" t="n">
        <x:v>42</x:v>
      </x:c>
      <x:c r="B47" s="60" t="str">
        <x:v>W2-005</x:v>
      </x:c>
      <x:c r="C47" s="60" t="str">
        <x:v>Public Invitation + RSVP Regression</x:v>
      </x:c>
      <x:c r="D47" s="60" t="str">
        <x:v>Frontend / Public / RSVP / Template QA</x:v>
      </x:c>
      <x:c r="E47" s="60" t="str">
        <x:v>រ៉ាន់ ណារ៉ាត់</x:v>
      </x:c>
      <x:c r="F47" s="61" t="str">
        <x:v>Ran Narath</x:v>
      </x:c>
      <x:c r="G47" s="291" t="n">
        <x:v>46279</x:v>
      </x:c>
      <x:c r="H47" s="291" t="n">
        <x:v>46285</x:v>
      </x:c>
      <x:c r="I47" s="291"/>
      <x:c r="J47" s="60" t="str">
        <x:v>ខ្ពស់</x:v>
      </x:c>
      <x:c r="K47" s="60" t="str">
        <x:v>គ្រោង</x:v>
      </x:c>
      <x:c r="L47" s="63" t="n">
        <x:v>0</x:v>
      </x:c>
      <x:c r="M47" s="61" t="str">
        <x:v>Own PR/commit + mobile/desktop evidence + regression checklist + defect report</x:v>
      </x:c>
      <x:c r="N47" s="60" t="str">
        <x:v>កឿង វីរៈ</x:v>
      </x:c>
      <x:c r="O47" s="60"/>
      <x:c r="P47" s="60" t="n">
        <x:f ca="1">IF(H47="","",IF(I47&lt;&gt;"",MAX(0,I47-H47),IF(TODAY()&gt;H47,TODAY()-H47,0)))</x:f>
        <x:v>0</x:v>
      </x:c>
      <x:c r="Q47" s="64" t="str">
        <x:v>Checkpoint 19-Sep-2026 18:00 | Own assignment only</x:v>
      </x:c>
    </x:row>
    <x:row r="48">
      <x:c r="A48" s="59" t="n">
        <x:v>43</x:v>
      </x:c>
      <x:c r="B48" s="60" t="str">
        <x:v>W2-006</x:v>
      </x:c>
      <x:c r="C48" s="60" t="str">
        <x:v>Integration + Release Readiness Review</x:v>
      </x:c>
      <x:c r="D48" s="60" t="str">
        <x:v>Leadership / QA / Release</x:v>
      </x:c>
      <x:c r="E48" s="60" t="str">
        <x:v>កឿង វីរៈ</x:v>
      </x:c>
      <x:c r="F48" s="61" t="str">
        <x:v>Koeurng Vireak</x:v>
      </x:c>
      <x:c r="G48" s="291" t="n">
        <x:v>46279</x:v>
      </x:c>
      <x:c r="H48" s="291" t="n">
        <x:v>46285</x:v>
      </x:c>
      <x:c r="I48" s="291"/>
      <x:c r="J48" s="60" t="str">
        <x:v>បន្ទាន់</x:v>
      </x:c>
      <x:c r="K48" s="60" t="str">
        <x:v>គ្រោង</x:v>
      </x:c>
      <x:c r="L48" s="63" t="n">
        <x:v>0</x:v>
      </x:c>
      <x:c r="M48" s="61" t="str">
        <x:v>PR review evidence + smoke report + blocker list + updated audit</x:v>
      </x:c>
      <x:c r="N48" s="60" t="str">
        <x:v>Team Review</x:v>
      </x:c>
      <x:c r="O48" s="60"/>
      <x:c r="P48" s="60" t="n">
        <x:f ca="1">IF(H48="","",IF(I48&lt;&gt;"",MAX(0,I48-H48),IF(TODAY()&gt;H48,TODAY()-H48,0)))</x:f>
        <x:v>0</x:v>
      </x:c>
      <x:c r="Q48" s="64" t="str">
        <x:v>Checkpoint 19-Sep-2026 18:00 | Review all member evidence individually</x:v>
      </x:c>
    </x:row>
    <x:row r="49">
      <x:c r="A49" s="59">
        <x:v>44</x:v>
      </x:c>
      <x:c r="B49" s="60"/>
      <x:c r="C49" s="60"/>
      <x:c r="D49" s="60"/>
      <x:c r="E49" s="60"/>
      <x:c r="F49" s="61"/>
      <x:c r="G49" s="62"/>
      <x:c r="H49" s="62"/>
      <x:c r="I49" s="62"/>
      <x:c r="J49" s="60"/>
      <x:c r="K49" s="60"/>
      <x:c r="L49" s="63"/>
      <x:c r="M49" s="61"/>
      <x:c r="N49" s="60"/>
      <x:c r="O49" s="60"/>
      <x:c r="P49" s="60" t="str">
        <x:f ca="1">IF(H49="","",IF(I49&lt;&gt;"",MAX(0,I49-H49),IF(TODAY()&gt;H49,TODAY()-H49,0)))</x:f>
      </x:c>
      <x:c r="Q49" s="64"/>
    </x:row>
    <x:row r="50">
      <x:c r="A50" s="59">
        <x:v>45</x:v>
      </x:c>
      <x:c r="B50" s="60"/>
      <x:c r="C50" s="60"/>
      <x:c r="D50" s="60"/>
      <x:c r="E50" s="60"/>
      <x:c r="F50" s="61"/>
      <x:c r="G50" s="62"/>
      <x:c r="H50" s="62"/>
      <x:c r="I50" s="62"/>
      <x:c r="J50" s="60"/>
      <x:c r="K50" s="60"/>
      <x:c r="L50" s="63"/>
      <x:c r="M50" s="61"/>
      <x:c r="N50" s="60"/>
      <x:c r="O50" s="60"/>
      <x:c r="P50" s="60" t="str">
        <x:f ca="1">IF(H50="","",IF(I50&lt;&gt;"",MAX(0,I50-H50),IF(TODAY()&gt;H50,TODAY()-H50,0)))</x:f>
      </x:c>
      <x:c r="Q50" s="64"/>
    </x:row>
    <x:row r="51">
      <x:c r="A51" s="59">
        <x:v>46</x:v>
      </x:c>
      <x:c r="B51" s="60"/>
      <x:c r="C51" s="60"/>
      <x:c r="D51" s="60"/>
      <x:c r="E51" s="60"/>
      <x:c r="F51" s="61"/>
      <x:c r="G51" s="62"/>
      <x:c r="H51" s="62"/>
      <x:c r="I51" s="62"/>
      <x:c r="J51" s="60"/>
      <x:c r="K51" s="60"/>
      <x:c r="L51" s="63"/>
      <x:c r="M51" s="61"/>
      <x:c r="N51" s="60"/>
      <x:c r="O51" s="60"/>
      <x:c r="P51" s="60" t="str">
        <x:f ca="1">IF(H51="","",IF(I51&lt;&gt;"",MAX(0,I51-H51),IF(TODAY()&gt;H51,TODAY()-H51,0)))</x:f>
      </x:c>
      <x:c r="Q51" s="64"/>
    </x:row>
    <x:row r="52">
      <x:c r="A52" s="59">
        <x:v>47</x:v>
      </x:c>
      <x:c r="B52" s="60"/>
      <x:c r="C52" s="60"/>
      <x:c r="D52" s="60"/>
      <x:c r="E52" s="60"/>
      <x:c r="F52" s="61"/>
      <x:c r="G52" s="62"/>
      <x:c r="H52" s="62"/>
      <x:c r="I52" s="62"/>
      <x:c r="J52" s="60"/>
      <x:c r="K52" s="60"/>
      <x:c r="L52" s="63"/>
      <x:c r="M52" s="61"/>
      <x:c r="N52" s="60"/>
      <x:c r="O52" s="60"/>
      <x:c r="P52" s="60" t="str">
        <x:f ca="1">IF(H52="","",IF(I52&lt;&gt;"",MAX(0,I52-H52),IF(TODAY()&gt;H52,TODAY()-H52,0)))</x:f>
      </x:c>
      <x:c r="Q52" s="64"/>
    </x:row>
    <x:row r="53">
      <x:c r="A53" s="59">
        <x:v>48</x:v>
      </x:c>
      <x:c r="B53" s="60"/>
      <x:c r="C53" s="60"/>
      <x:c r="D53" s="60"/>
      <x:c r="E53" s="60"/>
      <x:c r="F53" s="61"/>
      <x:c r="G53" s="62"/>
      <x:c r="H53" s="62"/>
      <x:c r="I53" s="62"/>
      <x:c r="J53" s="60"/>
      <x:c r="K53" s="60"/>
      <x:c r="L53" s="63"/>
      <x:c r="M53" s="61"/>
      <x:c r="N53" s="60"/>
      <x:c r="O53" s="60"/>
      <x:c r="P53" s="60" t="str">
        <x:f ca="1">IF(H53="","",IF(I53&lt;&gt;"",MAX(0,I53-H53),IF(TODAY()&gt;H53,TODAY()-H53,0)))</x:f>
      </x:c>
      <x:c r="Q53" s="64"/>
    </x:row>
    <x:row r="54">
      <x:c r="A54" s="59">
        <x:v>49</x:v>
      </x:c>
      <x:c r="B54" s="60"/>
      <x:c r="C54" s="60"/>
      <x:c r="D54" s="60"/>
      <x:c r="E54" s="60"/>
      <x:c r="F54" s="61"/>
      <x:c r="G54" s="62"/>
      <x:c r="H54" s="62"/>
      <x:c r="I54" s="62"/>
      <x:c r="J54" s="60"/>
      <x:c r="K54" s="60"/>
      <x:c r="L54" s="63"/>
      <x:c r="M54" s="61"/>
      <x:c r="N54" s="60"/>
      <x:c r="O54" s="60"/>
      <x:c r="P54" s="60" t="str">
        <x:f ca="1">IF(H54="","",IF(I54&lt;&gt;"",MAX(0,I54-H54),IF(TODAY()&gt;H54,TODAY()-H54,0)))</x:f>
      </x:c>
      <x:c r="Q54" s="64"/>
    </x:row>
    <x:row r="55">
      <x:c r="A55" s="59">
        <x:v>50</x:v>
      </x:c>
      <x:c r="B55" s="60"/>
      <x:c r="C55" s="60"/>
      <x:c r="D55" s="60"/>
      <x:c r="E55" s="60"/>
      <x:c r="F55" s="61"/>
      <x:c r="G55" s="62"/>
      <x:c r="H55" s="62"/>
      <x:c r="I55" s="62"/>
      <x:c r="J55" s="60"/>
      <x:c r="K55" s="60"/>
      <x:c r="L55" s="63"/>
      <x:c r="M55" s="61"/>
      <x:c r="N55" s="60"/>
      <x:c r="O55" s="60"/>
      <x:c r="P55" s="60" t="str">
        <x:f ca="1">IF(H55="","",IF(I55&lt;&gt;"",MAX(0,I55-H55),IF(TODAY()&gt;H55,TODAY()-H55,0)))</x:f>
      </x:c>
      <x:c r="Q55" s="64"/>
    </x:row>
    <x:row r="56">
      <x:c r="A56" s="59">
        <x:v>51</x:v>
      </x:c>
      <x:c r="B56" s="60"/>
      <x:c r="C56" s="60"/>
      <x:c r="D56" s="60"/>
      <x:c r="E56" s="60"/>
      <x:c r="F56" s="61"/>
      <x:c r="G56" s="62"/>
      <x:c r="H56" s="62"/>
      <x:c r="I56" s="62"/>
      <x:c r="J56" s="60"/>
      <x:c r="K56" s="60"/>
      <x:c r="L56" s="63"/>
      <x:c r="M56" s="61"/>
      <x:c r="N56" s="60"/>
      <x:c r="O56" s="60"/>
      <x:c r="P56" s="60" t="str">
        <x:f ca="1">IF(H56="","",IF(I56&lt;&gt;"",MAX(0,I56-H56),IF(TODAY()&gt;H56,TODAY()-H56,0)))</x:f>
      </x:c>
      <x:c r="Q56" s="64"/>
    </x:row>
    <x:row r="57">
      <x:c r="A57" s="59">
        <x:v>52</x:v>
      </x:c>
      <x:c r="B57" s="60"/>
      <x:c r="C57" s="60"/>
      <x:c r="D57" s="60"/>
      <x:c r="E57" s="60"/>
      <x:c r="F57" s="61"/>
      <x:c r="G57" s="62"/>
      <x:c r="H57" s="62"/>
      <x:c r="I57" s="62"/>
      <x:c r="J57" s="60"/>
      <x:c r="K57" s="60"/>
      <x:c r="L57" s="63"/>
      <x:c r="M57" s="61"/>
      <x:c r="N57" s="60"/>
      <x:c r="O57" s="60"/>
      <x:c r="P57" s="60" t="str">
        <x:f ca="1">IF(H57="","",IF(I57&lt;&gt;"",MAX(0,I57-H57),IF(TODAY()&gt;H57,TODAY()-H57,0)))</x:f>
      </x:c>
      <x:c r="Q57" s="64"/>
    </x:row>
    <x:row r="58">
      <x:c r="A58" s="59">
        <x:v>53</x:v>
      </x:c>
      <x:c r="B58" s="60"/>
      <x:c r="C58" s="60"/>
      <x:c r="D58" s="60"/>
      <x:c r="E58" s="60"/>
      <x:c r="F58" s="61"/>
      <x:c r="G58" s="62"/>
      <x:c r="H58" s="62"/>
      <x:c r="I58" s="62"/>
      <x:c r="J58" s="60"/>
      <x:c r="K58" s="60"/>
      <x:c r="L58" s="63"/>
      <x:c r="M58" s="61"/>
      <x:c r="N58" s="60"/>
      <x:c r="O58" s="60"/>
      <x:c r="P58" s="60" t="str">
        <x:f ca="1">IF(H58="","",IF(I58&lt;&gt;"",MAX(0,I58-H58),IF(TODAY()&gt;H58,TODAY()-H58,0)))</x:f>
      </x:c>
      <x:c r="Q58" s="64"/>
    </x:row>
    <x:row r="59">
      <x:c r="A59" s="59">
        <x:v>54</x:v>
      </x:c>
      <x:c r="B59" s="60"/>
      <x:c r="C59" s="60"/>
      <x:c r="D59" s="60"/>
      <x:c r="E59" s="60"/>
      <x:c r="F59" s="61"/>
      <x:c r="G59" s="62"/>
      <x:c r="H59" s="62"/>
      <x:c r="I59" s="62"/>
      <x:c r="J59" s="60"/>
      <x:c r="K59" s="60"/>
      <x:c r="L59" s="63"/>
      <x:c r="M59" s="61"/>
      <x:c r="N59" s="60"/>
      <x:c r="O59" s="60"/>
      <x:c r="P59" s="60" t="str">
        <x:f ca="1">IF(H59="","",IF(I59&lt;&gt;"",MAX(0,I59-H59),IF(TODAY()&gt;H59,TODAY()-H59,0)))</x:f>
      </x:c>
      <x:c r="Q59" s="64"/>
    </x:row>
    <x:row r="60">
      <x:c r="A60" s="59">
        <x:v>55</x:v>
      </x:c>
      <x:c r="B60" s="60"/>
      <x:c r="C60" s="60"/>
      <x:c r="D60" s="60"/>
      <x:c r="E60" s="60"/>
      <x:c r="F60" s="61"/>
      <x:c r="G60" s="62"/>
      <x:c r="H60" s="62"/>
      <x:c r="I60" s="62"/>
      <x:c r="J60" s="60"/>
      <x:c r="K60" s="60"/>
      <x:c r="L60" s="63"/>
      <x:c r="M60" s="61"/>
      <x:c r="N60" s="60"/>
      <x:c r="O60" s="60"/>
      <x:c r="P60" s="60" t="str">
        <x:f ca="1">IF(H60="","",IF(I60&lt;&gt;"",MAX(0,I60-H60),IF(TODAY()&gt;H60,TODAY()-H60,0)))</x:f>
      </x:c>
      <x:c r="Q60" s="64"/>
    </x:row>
    <x:row r="61">
      <x:c r="A61" s="59">
        <x:v>56</x:v>
      </x:c>
      <x:c r="B61" s="60"/>
      <x:c r="C61" s="60"/>
      <x:c r="D61" s="60"/>
      <x:c r="E61" s="60"/>
      <x:c r="F61" s="61"/>
      <x:c r="G61" s="62"/>
      <x:c r="H61" s="62"/>
      <x:c r="I61" s="62"/>
      <x:c r="J61" s="60"/>
      <x:c r="K61" s="60"/>
      <x:c r="L61" s="63"/>
      <x:c r="M61" s="61"/>
      <x:c r="N61" s="60"/>
      <x:c r="O61" s="60"/>
      <x:c r="P61" s="60" t="str">
        <x:f ca="1">IF(H61="","",IF(I61&lt;&gt;"",MAX(0,I61-H61),IF(TODAY()&gt;H61,TODAY()-H61,0)))</x:f>
      </x:c>
      <x:c r="Q61" s="64"/>
    </x:row>
    <x:row r="62">
      <x:c r="A62" s="59">
        <x:v>57</x:v>
      </x:c>
      <x:c r="B62" s="60"/>
      <x:c r="C62" s="60"/>
      <x:c r="D62" s="60"/>
      <x:c r="E62" s="60"/>
      <x:c r="F62" s="61"/>
      <x:c r="G62" s="62"/>
      <x:c r="H62" s="62"/>
      <x:c r="I62" s="62"/>
      <x:c r="J62" s="60"/>
      <x:c r="K62" s="60"/>
      <x:c r="L62" s="63"/>
      <x:c r="M62" s="61"/>
      <x:c r="N62" s="60"/>
      <x:c r="O62" s="60"/>
      <x:c r="P62" s="60" t="str">
        <x:f ca="1">IF(H62="","",IF(I62&lt;&gt;"",MAX(0,I62-H62),IF(TODAY()&gt;H62,TODAY()-H62,0)))</x:f>
      </x:c>
      <x:c r="Q62" s="64"/>
    </x:row>
    <x:row r="63">
      <x:c r="A63" s="59">
        <x:v>58</x:v>
      </x:c>
      <x:c r="B63" s="60"/>
      <x:c r="C63" s="60"/>
      <x:c r="D63" s="60"/>
      <x:c r="E63" s="60"/>
      <x:c r="F63" s="61"/>
      <x:c r="G63" s="62"/>
      <x:c r="H63" s="62"/>
      <x:c r="I63" s="62"/>
      <x:c r="J63" s="60"/>
      <x:c r="K63" s="60"/>
      <x:c r="L63" s="63"/>
      <x:c r="M63" s="61"/>
      <x:c r="N63" s="60"/>
      <x:c r="O63" s="60"/>
      <x:c r="P63" s="60" t="str">
        <x:f ca="1">IF(H63="","",IF(I63&lt;&gt;"",MAX(0,I63-H63),IF(TODAY()&gt;H63,TODAY()-H63,0)))</x:f>
      </x:c>
      <x:c r="Q63" s="64"/>
    </x:row>
    <x:row r="64">
      <x:c r="A64" s="59">
        <x:v>59</x:v>
      </x:c>
      <x:c r="B64" s="60"/>
      <x:c r="C64" s="60"/>
      <x:c r="D64" s="60"/>
      <x:c r="E64" s="60"/>
      <x:c r="F64" s="61"/>
      <x:c r="G64" s="62"/>
      <x:c r="H64" s="62"/>
      <x:c r="I64" s="62"/>
      <x:c r="J64" s="60"/>
      <x:c r="K64" s="60"/>
      <x:c r="L64" s="63"/>
      <x:c r="M64" s="61"/>
      <x:c r="N64" s="60"/>
      <x:c r="O64" s="60"/>
      <x:c r="P64" s="60" t="str">
        <x:f ca="1">IF(H64="","",IF(I64&lt;&gt;"",MAX(0,I64-H64),IF(TODAY()&gt;H64,TODAY()-H64,0)))</x:f>
      </x:c>
      <x:c r="Q64" s="64"/>
    </x:row>
    <x:row r="65">
      <x:c r="A65" s="65">
        <x:v>60</x:v>
      </x:c>
      <x:c r="B65" s="66"/>
      <x:c r="C65" s="66"/>
      <x:c r="D65" s="66"/>
      <x:c r="E65" s="66"/>
      <x:c r="F65" s="67"/>
      <x:c r="G65" s="68"/>
      <x:c r="H65" s="68"/>
      <x:c r="I65" s="68"/>
      <x:c r="J65" s="66"/>
      <x:c r="K65" s="66"/>
      <x:c r="L65" s="69"/>
      <x:c r="M65" s="67"/>
      <x:c r="N65" s="66"/>
      <x:c r="O65" s="66"/>
      <x:c r="P65" s="66" t="str">
        <x:f ca="1">IF(H65="","",IF(I65&lt;&gt;"",MAX(0,I65-H65),IF(TODAY()&gt;H65,TODAY()-H65,0)))</x:f>
      </x:c>
      <x:c r="Q65" s="70"/>
    </x:row>
  </x:sheetData>
  <x:mergeCells>
    <x:mergeCell ref="A1:Q1"/>
    <x:mergeCell ref="A2:Q2"/>
    <x:mergeCell ref="A3:Q3"/>
  </x:mergeCells>
  <x:conditionalFormatting sqref="H6:H65">
    <x:cfRule type="expression" dxfId="7" priority="5">
      <x:formula>AND(H6&lt;&gt;"",H6&gt;DATE(2026,12,1))</x:formula>
    </x:cfRule>
  </x:conditionalFormatting>
  <x:conditionalFormatting sqref="K6:K65">
    <x:cfRule type="expression" dxfId="6" priority="1">
      <x:formula>K6="បានបញ្ចប់"</x:formula>
    </x:cfRule>
    <x:cfRule type="expression" dxfId="5" priority="2">
      <x:formula>K6="កំពុងធ្វើ"</x:formula>
    </x:cfRule>
    <x:cfRule type="expression" dxfId="4" priority="3">
      <x:formula>K6="គ្រោង"</x:formula>
    </x:cfRule>
    <x:cfRule type="expression" dxfId="3" priority="4">
      <x:formula>K6="យឺតយ៉ាវ"</x:formula>
    </x:cfRule>
  </x:conditionalFormatting>
  <x:dataValidations count="4">
    <x:dataValidation type="list" sqref="K6:K65">
      <x:formula1>"បានបញ្ចប់,កំពុងធ្វើ,គ្រោង,យឺតយ៉ាវ,ផ្អាក"</x:formula1>
    </x:dataValidation>
    <x:dataValidation type="list" sqref="J6:J65">
      <x:formula1>"បន្ទាន់,ខ្ពស់,មធ្យម,ទាប,—"</x:formula1>
    </x:dataValidation>
    <x:dataValidation sqref="L6:L65 O6:O65">
      <x:formula1>0</x:formula1>
      <x:formula2>100</x:formula2>
    </x:dataValidation>
    <x:dataValidation type="list" sqref="K43:K48">
      <x:formula1>"គ្រោង,កំពុងធ្វើ,រង់ចាំ Review,បានបញ្ចប់,ជាប់គាំង,មិនទាន់មាន Evidence"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9765625" customWidth="1"/>
    <x:col min="2" max="2" width="13.046875" customWidth="1"/>
    <x:col min="3" max="3" width="9.01171875" customWidth="1"/>
    <x:col min="4" max="5" width="27.98046875" customWidth="1"/>
    <x:col min="6" max="6" width="18.0234375" customWidth="1"/>
    <x:col min="7" max="7" width="39.953125" customWidth="1"/>
    <x:col min="8" max="8" width="36.05078125" customWidth="1"/>
    <x:col min="9" max="9" width="20.04296875" customWidth="1"/>
    <x:col min="10" max="11" width="13.046875" customWidth="1"/>
    <x:col min="12" max="12" width="32.015625" customWidth="1"/>
    <x:col min="13" max="13" width="29.99609375" customWidth="1"/>
  </x:cols>
  <x:sheetData>
    <x:row r="1" ht="27.950000762939453" customHeight="1">
      <x:c r="A1" s="106" t="s">
        <x:v>390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</x:row>
    <x:row r="2">
      <x:c r="A2" s="107" t="s">
        <x:v>391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</x:row>
    <x:row r="3">
      <x:c r="A3" s="108" t="s">
        <x:v>392</x:v>
      </x:c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  <x:c r="M3" s="108"/>
    </x:row>
    <x:row r="5" ht="33.95000076293945" customHeight="1">
      <x:c r="A5" s="28" t="s">
        <x:v>16</x:v>
      </x:c>
      <x:c r="B5" s="29" t="s">
        <x:v>393</x:v>
      </x:c>
      <x:c r="C5" s="29" t="s">
        <x:v>394</x:v>
      </x:c>
      <x:c r="D5" s="29" t="s">
        <x:v>395</x:v>
      </x:c>
      <x:c r="E5" s="29" t="s">
        <x:v>396</x:v>
      </x:c>
      <x:c r="F5" s="29" t="s">
        <x:v>397</x:v>
      </x:c>
      <x:c r="G5" s="29" t="s">
        <x:v>398</x:v>
      </x:c>
      <x:c r="H5" s="29" t="s">
        <x:v>399</x:v>
      </x:c>
      <x:c r="I5" s="29" t="s">
        <x:v>189</x:v>
      </x:c>
      <x:c r="J5" s="29" t="s">
        <x:v>400</x:v>
      </x:c>
      <x:c r="K5" s="29" t="s">
        <x:v>194</x:v>
      </x:c>
      <x:c r="L5" s="29" t="s">
        <x:v>196</x:v>
      </x:c>
      <x:c r="M5" s="30" t="s">
        <x:v>20</x:v>
      </x:c>
    </x:row>
    <x:row r="6" ht="30" customHeight="1">
      <x:c r="A6" s="5">
        <x:v>1</x:v>
      </x:c>
      <x:c r="B6" s="6"/>
      <x:c r="C6" s="8"/>
      <x:c r="D6" s="8"/>
      <x:c r="E6" s="8"/>
      <x:c r="F6" s="8"/>
      <x:c r="G6" s="8"/>
      <x:c r="H6" s="8"/>
      <x:c r="I6" s="8"/>
      <x:c r="J6" s="6"/>
      <x:c r="K6" s="8"/>
      <x:c r="L6" s="8"/>
      <x:c r="M6" s="16"/>
    </x:row>
    <x:row r="7" ht="30" customHeight="1">
      <x:c r="A7" s="5">
        <x:v>2</x:v>
      </x:c>
      <x:c r="B7" s="6"/>
      <x:c r="C7" s="8"/>
      <x:c r="D7" s="8"/>
      <x:c r="E7" s="8"/>
      <x:c r="F7" s="8"/>
      <x:c r="G7" s="8"/>
      <x:c r="H7" s="8"/>
      <x:c r="I7" s="8"/>
      <x:c r="J7" s="6"/>
      <x:c r="K7" s="8"/>
      <x:c r="L7" s="8"/>
      <x:c r="M7" s="16"/>
    </x:row>
    <x:row r="8" ht="30" customHeight="1">
      <x:c r="A8" s="5">
        <x:v>3</x:v>
      </x:c>
      <x:c r="B8" s="6"/>
      <x:c r="C8" s="8"/>
      <x:c r="D8" s="8"/>
      <x:c r="E8" s="8"/>
      <x:c r="F8" s="8"/>
      <x:c r="G8" s="8"/>
      <x:c r="H8" s="8"/>
      <x:c r="I8" s="8"/>
      <x:c r="J8" s="6"/>
      <x:c r="K8" s="8"/>
      <x:c r="L8" s="8"/>
      <x:c r="M8" s="16"/>
    </x:row>
    <x:row r="9" ht="30" customHeight="1">
      <x:c r="A9" s="5">
        <x:v>4</x:v>
      </x:c>
      <x:c r="B9" s="6"/>
      <x:c r="C9" s="8"/>
      <x:c r="D9" s="8"/>
      <x:c r="E9" s="8"/>
      <x:c r="F9" s="8"/>
      <x:c r="G9" s="8"/>
      <x:c r="H9" s="8"/>
      <x:c r="I9" s="8"/>
      <x:c r="J9" s="6"/>
      <x:c r="K9" s="8"/>
      <x:c r="L9" s="8"/>
      <x:c r="M9" s="16"/>
    </x:row>
    <x:row r="10" ht="30" customHeight="1">
      <x:c r="A10" s="5">
        <x:v>5</x:v>
      </x:c>
      <x:c r="B10" s="6"/>
      <x:c r="C10" s="8"/>
      <x:c r="D10" s="8"/>
      <x:c r="E10" s="8"/>
      <x:c r="F10" s="8"/>
      <x:c r="G10" s="8"/>
      <x:c r="H10" s="8"/>
      <x:c r="I10" s="8"/>
      <x:c r="J10" s="6"/>
      <x:c r="K10" s="8"/>
      <x:c r="L10" s="8"/>
      <x:c r="M10" s="16"/>
    </x:row>
    <x:row r="11" ht="30" customHeight="1">
      <x:c r="A11" s="5">
        <x:v>6</x:v>
      </x:c>
      <x:c r="B11" s="6"/>
      <x:c r="C11" s="8"/>
      <x:c r="D11" s="8"/>
      <x:c r="E11" s="8"/>
      <x:c r="F11" s="8"/>
      <x:c r="G11" s="8"/>
      <x:c r="H11" s="8"/>
      <x:c r="I11" s="8"/>
      <x:c r="J11" s="6"/>
      <x:c r="K11" s="8"/>
      <x:c r="L11" s="8"/>
      <x:c r="M11" s="16"/>
    </x:row>
    <x:row r="12" ht="30" customHeight="1">
      <x:c r="A12" s="5">
        <x:v>7</x:v>
      </x:c>
      <x:c r="B12" s="6"/>
      <x:c r="C12" s="8"/>
      <x:c r="D12" s="8"/>
      <x:c r="E12" s="8"/>
      <x:c r="F12" s="8"/>
      <x:c r="G12" s="8"/>
      <x:c r="H12" s="8"/>
      <x:c r="I12" s="8"/>
      <x:c r="J12" s="6"/>
      <x:c r="K12" s="8"/>
      <x:c r="L12" s="8"/>
      <x:c r="M12" s="16"/>
    </x:row>
    <x:row r="13" ht="30" customHeight="1">
      <x:c r="A13" s="5">
        <x:v>8</x:v>
      </x:c>
      <x:c r="B13" s="6"/>
      <x:c r="C13" s="8"/>
      <x:c r="D13" s="8"/>
      <x:c r="E13" s="8"/>
      <x:c r="F13" s="8"/>
      <x:c r="G13" s="8"/>
      <x:c r="H13" s="8"/>
      <x:c r="I13" s="8"/>
      <x:c r="J13" s="6"/>
      <x:c r="K13" s="8"/>
      <x:c r="L13" s="8"/>
      <x:c r="M13" s="16"/>
    </x:row>
    <x:row r="14" ht="30" customHeight="1">
      <x:c r="A14" s="5">
        <x:v>9</x:v>
      </x:c>
      <x:c r="B14" s="6"/>
      <x:c r="C14" s="8"/>
      <x:c r="D14" s="8"/>
      <x:c r="E14" s="8"/>
      <x:c r="F14" s="8"/>
      <x:c r="G14" s="8"/>
      <x:c r="H14" s="8"/>
      <x:c r="I14" s="8"/>
      <x:c r="J14" s="6"/>
      <x:c r="K14" s="8"/>
      <x:c r="L14" s="8"/>
      <x:c r="M14" s="16"/>
    </x:row>
    <x:row r="15" ht="30" customHeight="1">
      <x:c r="A15" s="5">
        <x:v>10</x:v>
      </x:c>
      <x:c r="B15" s="6"/>
      <x:c r="C15" s="8"/>
      <x:c r="D15" s="8"/>
      <x:c r="E15" s="8"/>
      <x:c r="F15" s="8"/>
      <x:c r="G15" s="8"/>
      <x:c r="H15" s="8"/>
      <x:c r="I15" s="8"/>
      <x:c r="J15" s="6"/>
      <x:c r="K15" s="8"/>
      <x:c r="L15" s="8"/>
      <x:c r="M15" s="16"/>
    </x:row>
    <x:row r="16" ht="30" customHeight="1">
      <x:c r="A16" s="5">
        <x:v>11</x:v>
      </x:c>
      <x:c r="B16" s="6"/>
      <x:c r="C16" s="8"/>
      <x:c r="D16" s="8"/>
      <x:c r="E16" s="8"/>
      <x:c r="F16" s="8"/>
      <x:c r="G16" s="8"/>
      <x:c r="H16" s="8"/>
      <x:c r="I16" s="8"/>
      <x:c r="J16" s="6"/>
      <x:c r="K16" s="8"/>
      <x:c r="L16" s="8"/>
      <x:c r="M16" s="16"/>
    </x:row>
    <x:row r="17" ht="30" customHeight="1">
      <x:c r="A17" s="5">
        <x:v>12</x:v>
      </x:c>
      <x:c r="B17" s="6"/>
      <x:c r="C17" s="8"/>
      <x:c r="D17" s="8"/>
      <x:c r="E17" s="8"/>
      <x:c r="F17" s="8"/>
      <x:c r="G17" s="8"/>
      <x:c r="H17" s="8"/>
      <x:c r="I17" s="8"/>
      <x:c r="J17" s="6"/>
      <x:c r="K17" s="8"/>
      <x:c r="L17" s="8"/>
      <x:c r="M17" s="16"/>
    </x:row>
    <x:row r="18" ht="30" customHeight="1">
      <x:c r="A18" s="5">
        <x:v>13</x:v>
      </x:c>
      <x:c r="B18" s="6"/>
      <x:c r="C18" s="8"/>
      <x:c r="D18" s="8"/>
      <x:c r="E18" s="8"/>
      <x:c r="F18" s="8"/>
      <x:c r="G18" s="8"/>
      <x:c r="H18" s="8"/>
      <x:c r="I18" s="8"/>
      <x:c r="J18" s="6"/>
      <x:c r="K18" s="8"/>
      <x:c r="L18" s="8"/>
      <x:c r="M18" s="16"/>
    </x:row>
    <x:row r="19" ht="30" customHeight="1">
      <x:c r="A19" s="5">
        <x:v>14</x:v>
      </x:c>
      <x:c r="B19" s="6"/>
      <x:c r="C19" s="8"/>
      <x:c r="D19" s="8"/>
      <x:c r="E19" s="8"/>
      <x:c r="F19" s="8"/>
      <x:c r="G19" s="8"/>
      <x:c r="H19" s="8"/>
      <x:c r="I19" s="8"/>
      <x:c r="J19" s="6"/>
      <x:c r="K19" s="8"/>
      <x:c r="L19" s="8"/>
      <x:c r="M19" s="16"/>
    </x:row>
    <x:row r="20" ht="30" customHeight="1">
      <x:c r="A20" s="5">
        <x:v>15</x:v>
      </x:c>
      <x:c r="B20" s="6"/>
      <x:c r="C20" s="8"/>
      <x:c r="D20" s="8"/>
      <x:c r="E20" s="8"/>
      <x:c r="F20" s="8"/>
      <x:c r="G20" s="8"/>
      <x:c r="H20" s="8"/>
      <x:c r="I20" s="8"/>
      <x:c r="J20" s="6"/>
      <x:c r="K20" s="8"/>
      <x:c r="L20" s="8"/>
      <x:c r="M20" s="16"/>
    </x:row>
    <x:row r="21" ht="30" customHeight="1">
      <x:c r="A21" s="5">
        <x:v>16</x:v>
      </x:c>
      <x:c r="B21" s="6"/>
      <x:c r="C21" s="8"/>
      <x:c r="D21" s="8"/>
      <x:c r="E21" s="8"/>
      <x:c r="F21" s="8"/>
      <x:c r="G21" s="8"/>
      <x:c r="H21" s="8"/>
      <x:c r="I21" s="8"/>
      <x:c r="J21" s="6"/>
      <x:c r="K21" s="8"/>
      <x:c r="L21" s="8"/>
      <x:c r="M21" s="16"/>
    </x:row>
    <x:row r="22" ht="30" customHeight="1">
      <x:c r="A22" s="5">
        <x:v>17</x:v>
      </x:c>
      <x:c r="B22" s="6"/>
      <x:c r="C22" s="8"/>
      <x:c r="D22" s="8"/>
      <x:c r="E22" s="8"/>
      <x:c r="F22" s="8"/>
      <x:c r="G22" s="8"/>
      <x:c r="H22" s="8"/>
      <x:c r="I22" s="8"/>
      <x:c r="J22" s="6"/>
      <x:c r="K22" s="8"/>
      <x:c r="L22" s="8"/>
      <x:c r="M22" s="16"/>
    </x:row>
    <x:row r="23" ht="30" customHeight="1">
      <x:c r="A23" s="5">
        <x:v>18</x:v>
      </x:c>
      <x:c r="B23" s="6"/>
      <x:c r="C23" s="8"/>
      <x:c r="D23" s="8"/>
      <x:c r="E23" s="8"/>
      <x:c r="F23" s="8"/>
      <x:c r="G23" s="8"/>
      <x:c r="H23" s="8"/>
      <x:c r="I23" s="8"/>
      <x:c r="J23" s="6"/>
      <x:c r="K23" s="8"/>
      <x:c r="L23" s="8"/>
      <x:c r="M23" s="16"/>
    </x:row>
    <x:row r="24" ht="30" customHeight="1">
      <x:c r="A24" s="5">
        <x:v>19</x:v>
      </x:c>
      <x:c r="B24" s="6"/>
      <x:c r="C24" s="8"/>
      <x:c r="D24" s="8"/>
      <x:c r="E24" s="8"/>
      <x:c r="F24" s="8"/>
      <x:c r="G24" s="8"/>
      <x:c r="H24" s="8"/>
      <x:c r="I24" s="8"/>
      <x:c r="J24" s="6"/>
      <x:c r="K24" s="8"/>
      <x:c r="L24" s="8"/>
      <x:c r="M24" s="16"/>
    </x:row>
    <x:row r="25" ht="30" customHeight="1">
      <x:c r="A25" s="5">
        <x:v>20</x:v>
      </x:c>
      <x:c r="B25" s="6"/>
      <x:c r="C25" s="8"/>
      <x:c r="D25" s="8"/>
      <x:c r="E25" s="8"/>
      <x:c r="F25" s="8"/>
      <x:c r="G25" s="8"/>
      <x:c r="H25" s="8"/>
      <x:c r="I25" s="8"/>
      <x:c r="J25" s="6"/>
      <x:c r="K25" s="8"/>
      <x:c r="L25" s="8"/>
      <x:c r="M25" s="16"/>
    </x:row>
    <x:row r="26" ht="30" customHeight="1">
      <x:c r="A26" s="5">
        <x:v>21</x:v>
      </x:c>
      <x:c r="B26" s="6"/>
      <x:c r="C26" s="8"/>
      <x:c r="D26" s="8"/>
      <x:c r="E26" s="8"/>
      <x:c r="F26" s="8"/>
      <x:c r="G26" s="8"/>
      <x:c r="H26" s="8"/>
      <x:c r="I26" s="8"/>
      <x:c r="J26" s="6"/>
      <x:c r="K26" s="8"/>
      <x:c r="L26" s="8"/>
      <x:c r="M26" s="16"/>
    </x:row>
    <x:row r="27" ht="30" customHeight="1">
      <x:c r="A27" s="5">
        <x:v>22</x:v>
      </x:c>
      <x:c r="B27" s="6"/>
      <x:c r="C27" s="8"/>
      <x:c r="D27" s="8"/>
      <x:c r="E27" s="8"/>
      <x:c r="F27" s="8"/>
      <x:c r="G27" s="8"/>
      <x:c r="H27" s="8"/>
      <x:c r="I27" s="8"/>
      <x:c r="J27" s="6"/>
      <x:c r="K27" s="8"/>
      <x:c r="L27" s="8"/>
      <x:c r="M27" s="16"/>
    </x:row>
    <x:row r="28" ht="30" customHeight="1">
      <x:c r="A28" s="5">
        <x:v>23</x:v>
      </x:c>
      <x:c r="B28" s="6"/>
      <x:c r="C28" s="8"/>
      <x:c r="D28" s="8"/>
      <x:c r="E28" s="8"/>
      <x:c r="F28" s="8"/>
      <x:c r="G28" s="8"/>
      <x:c r="H28" s="8"/>
      <x:c r="I28" s="8"/>
      <x:c r="J28" s="6"/>
      <x:c r="K28" s="8"/>
      <x:c r="L28" s="8"/>
      <x:c r="M28" s="16"/>
    </x:row>
    <x:row r="29" ht="30" customHeight="1">
      <x:c r="A29" s="5">
        <x:v>24</x:v>
      </x:c>
      <x:c r="B29" s="6"/>
      <x:c r="C29" s="8"/>
      <x:c r="D29" s="8"/>
      <x:c r="E29" s="8"/>
      <x:c r="F29" s="8"/>
      <x:c r="G29" s="8"/>
      <x:c r="H29" s="8"/>
      <x:c r="I29" s="8"/>
      <x:c r="J29" s="6"/>
      <x:c r="K29" s="8"/>
      <x:c r="L29" s="8"/>
      <x:c r="M29" s="16"/>
    </x:row>
    <x:row r="30" ht="30" customHeight="1">
      <x:c r="A30" s="5">
        <x:v>25</x:v>
      </x:c>
      <x:c r="B30" s="6"/>
      <x:c r="C30" s="8"/>
      <x:c r="D30" s="8"/>
      <x:c r="E30" s="8"/>
      <x:c r="F30" s="8"/>
      <x:c r="G30" s="8"/>
      <x:c r="H30" s="8"/>
      <x:c r="I30" s="8"/>
      <x:c r="J30" s="6"/>
      <x:c r="K30" s="8"/>
      <x:c r="L30" s="8"/>
      <x:c r="M30" s="16"/>
    </x:row>
    <x:row r="31" ht="30" customHeight="1">
      <x:c r="A31" s="5">
        <x:v>26</x:v>
      </x:c>
      <x:c r="B31" s="6"/>
      <x:c r="C31" s="8"/>
      <x:c r="D31" s="8"/>
      <x:c r="E31" s="8"/>
      <x:c r="F31" s="8"/>
      <x:c r="G31" s="8"/>
      <x:c r="H31" s="8"/>
      <x:c r="I31" s="8"/>
      <x:c r="J31" s="6"/>
      <x:c r="K31" s="8"/>
      <x:c r="L31" s="8"/>
      <x:c r="M31" s="16"/>
    </x:row>
    <x:row r="32" ht="30" customHeight="1">
      <x:c r="A32" s="5">
        <x:v>27</x:v>
      </x:c>
      <x:c r="B32" s="6"/>
      <x:c r="C32" s="8"/>
      <x:c r="D32" s="8"/>
      <x:c r="E32" s="8"/>
      <x:c r="F32" s="8"/>
      <x:c r="G32" s="8"/>
      <x:c r="H32" s="8"/>
      <x:c r="I32" s="8"/>
      <x:c r="J32" s="6"/>
      <x:c r="K32" s="8"/>
      <x:c r="L32" s="8"/>
      <x:c r="M32" s="16"/>
    </x:row>
    <x:row r="33" ht="30" customHeight="1">
      <x:c r="A33" s="5">
        <x:v>28</x:v>
      </x:c>
      <x:c r="B33" s="6"/>
      <x:c r="C33" s="8"/>
      <x:c r="D33" s="8"/>
      <x:c r="E33" s="8"/>
      <x:c r="F33" s="8"/>
      <x:c r="G33" s="8"/>
      <x:c r="H33" s="8"/>
      <x:c r="I33" s="8"/>
      <x:c r="J33" s="6"/>
      <x:c r="K33" s="8"/>
      <x:c r="L33" s="8"/>
      <x:c r="M33" s="16"/>
    </x:row>
    <x:row r="34" ht="30" customHeight="1">
      <x:c r="A34" s="5">
        <x:v>29</x:v>
      </x:c>
      <x:c r="B34" s="6"/>
      <x:c r="C34" s="8"/>
      <x:c r="D34" s="8"/>
      <x:c r="E34" s="8"/>
      <x:c r="F34" s="8"/>
      <x:c r="G34" s="8"/>
      <x:c r="H34" s="8"/>
      <x:c r="I34" s="8"/>
      <x:c r="J34" s="6"/>
      <x:c r="K34" s="8"/>
      <x:c r="L34" s="8"/>
      <x:c r="M34" s="16"/>
    </x:row>
    <x:row r="35" ht="30" customHeight="1">
      <x:c r="A35" s="9">
        <x:v>30</x:v>
      </x:c>
      <x:c r="B35" s="71"/>
      <x:c r="C35" s="10"/>
      <x:c r="D35" s="10"/>
      <x:c r="E35" s="10"/>
      <x:c r="F35" s="10"/>
      <x:c r="G35" s="10"/>
      <x:c r="H35" s="10"/>
      <x:c r="I35" s="10"/>
      <x:c r="J35" s="71"/>
      <x:c r="K35" s="10"/>
      <x:c r="L35" s="10"/>
      <x:c r="M35" s="18"/>
    </x:row>
  </x:sheetData>
  <x:mergeCells>
    <x:mergeCell ref="A1:M1"/>
    <x:mergeCell ref="A2:M2"/>
    <x:mergeCell ref="A3:M3"/>
  </x:mergeCells>
  <x:dataValidations count="1">
    <x:dataValidation type="list" sqref="K6:K35">
      <x:formula1>"បានបញ្ចប់,កំពុងធ្វើ,គ្រោង,យឺតយ៉ាវ,ផ្អាក"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05078125" customWidth="1"/>
    <x:col min="2" max="2" width="13.046875" customWidth="1"/>
    <x:col min="3" max="3" width="16.0078125" customWidth="1"/>
    <x:col min="4" max="4" width="27.98046875" customWidth="1"/>
    <x:col min="5" max="5" width="52.05859375" customWidth="1"/>
    <x:col min="6" max="6" width="22.05859375" customWidth="1"/>
    <x:col min="7" max="7" width="16.0078125" customWidth="1"/>
    <x:col min="8" max="8" width="52.05859375" customWidth="1"/>
  </x:cols>
  <x:sheetData>
    <x:row r="1" ht="30" customHeight="1">
      <x:c r="A1" s="106" t="s">
        <x:v>401</x:v>
      </x:c>
      <x:c r="B1" s="106"/>
      <x:c r="C1" s="106"/>
      <x:c r="D1" s="106"/>
      <x:c r="E1" s="106"/>
      <x:c r="F1" s="106"/>
      <x:c r="G1" s="106"/>
      <x:c r="H1" s="106"/>
    </x:row>
    <x:row r="2" ht="32.099998474121094" customHeight="1">
      <x:c r="A2" s="133" t="s">
        <x:v>402</x:v>
      </x:c>
      <x:c r="B2" s="133"/>
      <x:c r="C2" s="133"/>
      <x:c r="D2" s="133"/>
      <x:c r="E2" s="133"/>
      <x:c r="F2" s="133"/>
      <x:c r="G2" s="133"/>
      <x:c r="H2" s="133"/>
    </x:row>
    <x:row r="4" ht="33.95000076293945" customHeight="1">
      <x:c r="A4" s="28" t="s">
        <x:v>16</x:v>
      </x:c>
      <x:c r="B4" s="29" t="s">
        <x:v>393</x:v>
      </x:c>
      <x:c r="C4" s="29" t="s">
        <x:v>403</x:v>
      </x:c>
      <x:c r="D4" s="29" t="s">
        <x:v>404</x:v>
      </x:c>
      <x:c r="E4" s="29" t="s">
        <x:v>405</x:v>
      </x:c>
      <x:c r="F4" s="29" t="s">
        <x:v>406</x:v>
      </x:c>
      <x:c r="G4" s="29" t="s">
        <x:v>194</x:v>
      </x:c>
      <x:c r="H4" s="30" t="s">
        <x:v>407</x:v>
      </x:c>
    </x:row>
    <x:row r="5" ht="38.099998474121094" customHeight="1">
      <x:c r="A5" s="72">
        <x:v>1</x:v>
      </x:c>
      <x:c r="B5" s="73">
        <x:v>46095</x:v>
      </x:c>
      <x:c r="C5" s="74" t="s">
        <x:v>408</x:v>
      </x:c>
      <x:c r="D5" s="74" t="s">
        <x:v>409</x:v>
      </x:c>
      <x:c r="E5" s="74" t="s">
        <x:v>410</x:v>
      </x:c>
      <x:c r="F5" s="74" t="s">
        <x:v>411</x:v>
      </x:c>
      <x:c r="G5" s="80" t="s">
        <x:v>412</x:v>
      </x:c>
      <x:c r="H5" s="75" t="s">
        <x:v>413</x:v>
      </x:c>
    </x:row>
    <x:row r="6" ht="38.099998474121094" customHeight="1">
      <x:c r="A6" s="72">
        <x:v>2</x:v>
      </x:c>
      <x:c r="B6" s="73">
        <x:v>46148</x:v>
      </x:c>
      <x:c r="C6" s="74" t="s">
        <x:v>414</x:v>
      </x:c>
      <x:c r="D6" s="74" t="s">
        <x:v>415</x:v>
      </x:c>
      <x:c r="E6" s="74" t="s">
        <x:v>416</x:v>
      </x:c>
      <x:c r="F6" s="74" t="s">
        <x:v>417</x:v>
      </x:c>
      <x:c r="G6" s="80" t="s">
        <x:v>412</x:v>
      </x:c>
      <x:c r="H6" s="75" t="s">
        <x:v>413</x:v>
      </x:c>
    </x:row>
    <x:row r="7" ht="38.099998474121094" customHeight="1">
      <x:c r="A7" s="72">
        <x:v>3</x:v>
      </x:c>
      <x:c r="B7" s="73">
        <x:v>46154</x:v>
      </x:c>
      <x:c r="C7" s="74" t="s">
        <x:v>418</x:v>
      </x:c>
      <x:c r="D7" s="74" t="s">
        <x:v>419</x:v>
      </x:c>
      <x:c r="E7" s="74" t="s">
        <x:v>420</x:v>
      </x:c>
      <x:c r="F7" s="74" t="s">
        <x:v>417</x:v>
      </x:c>
      <x:c r="G7" s="80" t="s">
        <x:v>412</x:v>
      </x:c>
      <x:c r="H7" s="75" t="s">
        <x:v>413</x:v>
      </x:c>
    </x:row>
    <x:row r="8" ht="38.099998474121094" customHeight="1">
      <x:c r="A8" s="72">
        <x:v>4</x:v>
      </x:c>
      <x:c r="B8" s="73">
        <x:v>46157</x:v>
      </x:c>
      <x:c r="C8" s="74" t="s">
        <x:v>421</x:v>
      </x:c>
      <x:c r="D8" s="74" t="s">
        <x:v>422</x:v>
      </x:c>
      <x:c r="E8" s="74" t="s">
        <x:v>423</x:v>
      </x:c>
      <x:c r="F8" s="74" t="s">
        <x:v>91</x:v>
      </x:c>
      <x:c r="G8" s="80" t="s">
        <x:v>412</x:v>
      </x:c>
      <x:c r="H8" s="75" t="s">
        <x:v>413</x:v>
      </x:c>
    </x:row>
    <x:row r="9" ht="38.099998474121094" customHeight="1">
      <x:c r="A9" s="72">
        <x:v>5</x:v>
      </x:c>
      <x:c r="B9" s="73">
        <x:v>46162</x:v>
      </x:c>
      <x:c r="C9" s="74" t="s">
        <x:v>424</x:v>
      </x:c>
      <x:c r="D9" s="74" t="s">
        <x:v>425</x:v>
      </x:c>
      <x:c r="E9" s="74" t="s">
        <x:v>426</x:v>
      </x:c>
      <x:c r="F9" s="74" t="s">
        <x:v>417</x:v>
      </x:c>
      <x:c r="G9" s="80" t="s">
        <x:v>412</x:v>
      </x:c>
      <x:c r="H9" s="75" t="s">
        <x:v>413</x:v>
      </x:c>
    </x:row>
    <x:row r="10" ht="38.099998474121094" customHeight="1">
      <x:c r="A10" s="72">
        <x:v>6</x:v>
      </x:c>
      <x:c r="B10" s="73">
        <x:v>46168</x:v>
      </x:c>
      <x:c r="C10" s="74" t="s">
        <x:v>427</x:v>
      </x:c>
      <x:c r="D10" s="74" t="s">
        <x:v>428</x:v>
      </x:c>
      <x:c r="E10" s="74" t="s">
        <x:v>429</x:v>
      </x:c>
      <x:c r="F10" s="74" t="s">
        <x:v>91</x:v>
      </x:c>
      <x:c r="G10" s="80" t="s">
        <x:v>412</x:v>
      </x:c>
      <x:c r="H10" s="75" t="s">
        <x:v>413</x:v>
      </x:c>
    </x:row>
    <x:row r="11" ht="38.099998474121094" customHeight="1">
      <x:c r="A11" s="72">
        <x:v>7</x:v>
      </x:c>
      <x:c r="B11" s="73">
        <x:v>46168</x:v>
      </x:c>
      <x:c r="C11" s="74" t="s">
        <x:v>430</x:v>
      </x:c>
      <x:c r="D11" s="74" t="s">
        <x:v>431</x:v>
      </x:c>
      <x:c r="E11" s="74" t="s">
        <x:v>432</x:v>
      </x:c>
      <x:c r="F11" s="74" t="s">
        <x:v>100</x:v>
      </x:c>
      <x:c r="G11" s="81" t="s">
        <x:v>204</x:v>
      </x:c>
      <x:c r="H11" s="75" t="s">
        <x:v>205</x:v>
      </x:c>
    </x:row>
    <x:row r="12" ht="38.099998474121094" customHeight="1">
      <x:c r="A12" s="72">
        <x:v>8</x:v>
      </x:c>
      <x:c r="B12" s="73">
        <x:v>46176</x:v>
      </x:c>
      <x:c r="C12" s="74" t="s">
        <x:v>430</x:v>
      </x:c>
      <x:c r="D12" s="74" t="s">
        <x:v>433</x:v>
      </x:c>
      <x:c r="E12" s="74" t="s">
        <x:v>434</x:v>
      </x:c>
      <x:c r="F12" s="74" t="s">
        <x:v>100</x:v>
      </x:c>
      <x:c r="G12" s="81" t="s">
        <x:v>204</x:v>
      </x:c>
      <x:c r="H12" s="75" t="s">
        <x:v>210</x:v>
      </x:c>
    </x:row>
    <x:row r="13" ht="38.099998474121094" customHeight="1">
      <x:c r="A13" s="72">
        <x:v>9</x:v>
      </x:c>
      <x:c r="B13" s="73">
        <x:v>46179</x:v>
      </x:c>
      <x:c r="C13" s="74" t="s">
        <x:v>435</x:v>
      </x:c>
      <x:c r="D13" s="74" t="s">
        <x:v>436</x:v>
      </x:c>
      <x:c r="E13" s="74" t="s">
        <x:v>437</x:v>
      </x:c>
      <x:c r="F13" s="74" t="s">
        <x:v>417</x:v>
      </x:c>
      <x:c r="G13" s="80" t="s">
        <x:v>412</x:v>
      </x:c>
      <x:c r="H13" s="75" t="s">
        <x:v>413</x:v>
      </x:c>
    </x:row>
    <x:row r="14" ht="38.099998474121094" customHeight="1">
      <x:c r="A14" s="72">
        <x:v>10</x:v>
      </x:c>
      <x:c r="B14" s="73">
        <x:v>46182</x:v>
      </x:c>
      <x:c r="C14" s="74" t="s">
        <x:v>430</x:v>
      </x:c>
      <x:c r="D14" s="74" t="s">
        <x:v>438</x:v>
      </x:c>
      <x:c r="E14" s="74" t="s">
        <x:v>439</x:v>
      </x:c>
      <x:c r="F14" s="74" t="s">
        <x:v>100</x:v>
      </x:c>
      <x:c r="G14" s="81" t="s">
        <x:v>204</x:v>
      </x:c>
      <x:c r="H14" s="75" t="s">
        <x:v>215</x:v>
      </x:c>
    </x:row>
    <x:row r="15" ht="38.099998474121094" customHeight="1">
      <x:c r="A15" s="72">
        <x:v>11</x:v>
      </x:c>
      <x:c r="B15" s="73">
        <x:v>46182</x:v>
      </x:c>
      <x:c r="C15" s="74" t="s">
        <x:v>219</x:v>
      </x:c>
      <x:c r="D15" s="74" t="s">
        <x:v>440</x:v>
      </x:c>
      <x:c r="E15" s="74" t="s">
        <x:v>441</x:v>
      </x:c>
      <x:c r="F15" s="74" t="s">
        <x:v>100</x:v>
      </x:c>
      <x:c r="G15" s="81" t="s">
        <x:v>204</x:v>
      </x:c>
      <x:c r="H15" s="75" t="s">
        <x:v>220</x:v>
      </x:c>
    </x:row>
    <x:row r="16" ht="38.099998474121094" customHeight="1">
      <x:c r="A16" s="72">
        <x:v>12</x:v>
      </x:c>
      <x:c r="B16" s="73">
        <x:v>46183</x:v>
      </x:c>
      <x:c r="C16" s="74" t="s">
        <x:v>442</x:v>
      </x:c>
      <x:c r="D16" s="74" t="s">
        <x:v>443</x:v>
      </x:c>
      <x:c r="E16" s="74" t="s">
        <x:v>444</x:v>
      </x:c>
      <x:c r="F16" s="74" t="s">
        <x:v>100</x:v>
      </x:c>
      <x:c r="G16" s="81" t="s">
        <x:v>204</x:v>
      </x:c>
      <x:c r="H16" s="75" t="s">
        <x:v>225</x:v>
      </x:c>
    </x:row>
    <x:row r="17" ht="38.099998474121094" customHeight="1">
      <x:c r="A17" s="72">
        <x:v>13</x:v>
      </x:c>
      <x:c r="B17" s="73">
        <x:v>46190</x:v>
      </x:c>
      <x:c r="C17" s="74" t="s">
        <x:v>445</x:v>
      </x:c>
      <x:c r="D17" s="74" t="s">
        <x:v>446</x:v>
      </x:c>
      <x:c r="E17" s="74" t="s">
        <x:v>447</x:v>
      </x:c>
      <x:c r="F17" s="74" t="s">
        <x:v>448</x:v>
      </x:c>
      <x:c r="G17" s="80" t="s">
        <x:v>412</x:v>
      </x:c>
      <x:c r="H17" s="75" t="s">
        <x:v>413</x:v>
      </x:c>
    </x:row>
    <x:row r="18" ht="38.099998474121094" customHeight="1">
      <x:c r="A18" s="72">
        <x:v>14</x:v>
      </x:c>
      <x:c r="B18" s="73">
        <x:v>46197</x:v>
      </x:c>
      <x:c r="C18" s="74" t="s">
        <x:v>449</x:v>
      </x:c>
      <x:c r="D18" s="74" t="s">
        <x:v>450</x:v>
      </x:c>
      <x:c r="E18" s="74" t="s">
        <x:v>451</x:v>
      </x:c>
      <x:c r="F18" s="74" t="s">
        <x:v>417</x:v>
      </x:c>
      <x:c r="G18" s="80" t="s">
        <x:v>412</x:v>
      </x:c>
      <x:c r="H18" s="75" t="s">
        <x:v>413</x:v>
      </x:c>
    </x:row>
    <x:row r="19" ht="38.099998474121094" customHeight="1">
      <x:c r="A19" s="72">
        <x:v>15</x:v>
      </x:c>
      <x:c r="B19" s="73">
        <x:v>46197</x:v>
      </x:c>
      <x:c r="C19" s="74" t="s">
        <x:v>452</x:v>
      </x:c>
      <x:c r="D19" s="74" t="s">
        <x:v>453</x:v>
      </x:c>
      <x:c r="E19" s="74" t="s">
        <x:v>454</x:v>
      </x:c>
      <x:c r="F19" s="74" t="s">
        <x:v>448</x:v>
      </x:c>
      <x:c r="G19" s="80" t="s">
        <x:v>412</x:v>
      </x:c>
      <x:c r="H19" s="75" t="s">
        <x:v>413</x:v>
      </x:c>
    </x:row>
    <x:row r="20" ht="38.099998474121094" customHeight="1">
      <x:c r="A20" s="72">
        <x:v>16</x:v>
      </x:c>
      <x:c r="B20" s="73">
        <x:v>46206</x:v>
      </x:c>
      <x:c r="C20" s="74" t="s">
        <x:v>455</x:v>
      </x:c>
      <x:c r="D20" s="74" t="s">
        <x:v>456</x:v>
      </x:c>
      <x:c r="E20" s="74" t="s">
        <x:v>457</x:v>
      </x:c>
      <x:c r="F20" s="74" t="s">
        <x:v>100</x:v>
      </x:c>
      <x:c r="G20" s="81" t="s">
        <x:v>204</x:v>
      </x:c>
      <x:c r="H20" s="75" t="s">
        <x:v>458</x:v>
      </x:c>
    </x:row>
    <x:row r="21" ht="38.099998474121094" customHeight="1">
      <x:c r="A21" s="72">
        <x:v>17</x:v>
      </x:c>
      <x:c r="B21" s="73">
        <x:v>46224</x:v>
      </x:c>
      <x:c r="C21" s="74" t="s">
        <x:v>459</x:v>
      </x:c>
      <x:c r="D21" s="74" t="s">
        <x:v>460</x:v>
      </x:c>
      <x:c r="E21" s="74" t="s">
        <x:v>461</x:v>
      </x:c>
      <x:c r="F21" s="74" t="s">
        <x:v>100</x:v>
      </x:c>
      <x:c r="G21" s="81" t="s">
        <x:v>204</x:v>
      </x:c>
      <x:c r="H21" s="75" t="s">
        <x:v>235</x:v>
      </x:c>
    </x:row>
    <x:row r="22" ht="38.099998474121094" customHeight="1">
      <x:c r="A22" s="72">
        <x:v>18</x:v>
      </x:c>
      <x:c r="B22" s="73">
        <x:v>46241</x:v>
      </x:c>
      <x:c r="C22" s="74" t="s">
        <x:v>462</x:v>
      </x:c>
      <x:c r="D22" s="74" t="s">
        <x:v>463</x:v>
      </x:c>
      <x:c r="E22" s="74" t="s">
        <x:v>464</x:v>
      </x:c>
      <x:c r="F22" s="74" t="s">
        <x:v>100</x:v>
      </x:c>
      <x:c r="G22" s="81" t="s">
        <x:v>204</x:v>
      </x:c>
      <x:c r="H22" s="75" t="s">
        <x:v>240</x:v>
      </x:c>
    </x:row>
    <x:row r="23" ht="38.099998474121094" customHeight="1">
      <x:c r="A23" s="72">
        <x:v>19</x:v>
      </x:c>
      <x:c r="B23" s="73">
        <x:v>46241</x:v>
      </x:c>
      <x:c r="C23" s="74" t="s">
        <x:v>449</x:v>
      </x:c>
      <x:c r="D23" s="74" t="s">
        <x:v>465</x:v>
      </x:c>
      <x:c r="E23" s="74" t="s">
        <x:v>466</x:v>
      </x:c>
      <x:c r="F23" s="74" t="s">
        <x:v>100</x:v>
      </x:c>
      <x:c r="G23" s="81" t="s">
        <x:v>204</x:v>
      </x:c>
      <x:c r="H23" s="75" t="s">
        <x:v>250</x:v>
      </x:c>
    </x:row>
    <x:row r="24" ht="38.099998474121094" customHeight="1">
      <x:c r="A24" s="72">
        <x:v>20</x:v>
      </x:c>
      <x:c r="B24" s="73">
        <x:v>46244</x:v>
      </x:c>
      <x:c r="C24" s="74" t="s">
        <x:v>254</x:v>
      </x:c>
      <x:c r="D24" s="74" t="s">
        <x:v>467</x:v>
      </x:c>
      <x:c r="E24" s="74" t="s">
        <x:v>468</x:v>
      </x:c>
      <x:c r="F24" s="74" t="s">
        <x:v>100</x:v>
      </x:c>
      <x:c r="G24" s="81" t="s">
        <x:v>204</x:v>
      </x:c>
      <x:c r="H24" s="75" t="s">
        <x:v>255</x:v>
      </x:c>
    </x:row>
    <x:row r="25" ht="38.099998474121094" customHeight="1">
      <x:c r="A25" s="72">
        <x:v>21</x:v>
      </x:c>
      <x:c r="B25" s="73">
        <x:v>46260</x:v>
      </x:c>
      <x:c r="C25" s="74" t="s">
        <x:v>259</x:v>
      </x:c>
      <x:c r="D25" s="74" t="s">
        <x:v>469</x:v>
      </x:c>
      <x:c r="E25" s="74" t="s">
        <x:v>470</x:v>
      </x:c>
      <x:c r="F25" s="74" t="s">
        <x:v>104</x:v>
      </x:c>
      <x:c r="G25" s="81" t="s">
        <x:v>204</x:v>
      </x:c>
      <x:c r="H25" s="75" t="s">
        <x:v>260</x:v>
      </x:c>
    </x:row>
    <x:row r="26" ht="38.099998474121094" customHeight="1">
      <x:c r="A26" s="72">
        <x:v>22</x:v>
      </x:c>
      <x:c r="B26" s="73">
        <x:v>46265</x:v>
      </x:c>
      <x:c r="C26" s="74" t="s">
        <x:v>471</x:v>
      </x:c>
      <x:c r="D26" s="74" t="s">
        <x:v>472</x:v>
      </x:c>
      <x:c r="E26" s="74" t="s">
        <x:v>473</x:v>
      </x:c>
      <x:c r="F26" s="74" t="s">
        <x:v>108</x:v>
      </x:c>
      <x:c r="G26" s="81" t="s">
        <x:v>204</x:v>
      </x:c>
      <x:c r="H26" s="75" t="s">
        <x:v>265</x:v>
      </x:c>
    </x:row>
    <x:row r="27" ht="38.099998474121094" customHeight="1">
      <x:c r="A27" s="72">
        <x:v>23</x:v>
      </x:c>
      <x:c r="B27" s="73">
        <x:v>46265</x:v>
      </x:c>
      <x:c r="C27" s="74" t="s">
        <x:v>352</x:v>
      </x:c>
      <x:c r="D27" s="74" t="s">
        <x:v>474</x:v>
      </x:c>
      <x:c r="E27" s="74" t="s">
        <x:v>475</x:v>
      </x:c>
      <x:c r="F27" s="74" t="s">
        <x:v>91</x:v>
      </x:c>
      <x:c r="G27" s="80" t="s">
        <x:v>412</x:v>
      </x:c>
      <x:c r="H27" s="75" t="s">
        <x:v>413</x:v>
      </x:c>
    </x:row>
    <x:row r="28" ht="38.099998474121094" customHeight="1">
      <x:c r="A28" s="72">
        <x:v>24</x:v>
      </x:c>
      <x:c r="B28" s="73">
        <x:v>46268</x:v>
      </x:c>
      <x:c r="C28" s="74" t="s">
        <x:v>476</x:v>
      </x:c>
      <x:c r="D28" s="74" t="s">
        <x:v>477</x:v>
      </x:c>
      <x:c r="E28" s="74" t="s">
        <x:v>478</x:v>
      </x:c>
      <x:c r="F28" s="74" t="s">
        <x:v>108</x:v>
      </x:c>
      <x:c r="G28" s="81" t="s">
        <x:v>204</x:v>
      </x:c>
      <x:c r="H28" s="75" t="s">
        <x:v>270</x:v>
      </x:c>
    </x:row>
    <x:row r="29" ht="38.099998474121094" customHeight="1">
      <x:c r="A29" s="72">
        <x:v>25</x:v>
      </x:c>
      <x:c r="B29" s="73">
        <x:v>46271</x:v>
      </x:c>
      <x:c r="C29" s="74" t="s">
        <x:v>479</x:v>
      </x:c>
      <x:c r="D29" s="74" t="s">
        <x:v>480</x:v>
      </x:c>
      <x:c r="E29" s="74" t="s">
        <x:v>481</x:v>
      </x:c>
      <x:c r="F29" s="74" t="s">
        <x:v>108</x:v>
      </x:c>
      <x:c r="G29" s="81" t="s">
        <x:v>204</x:v>
      </x:c>
      <x:c r="H29" s="75" t="s">
        <x:v>274</x:v>
      </x:c>
    </x:row>
    <x:row r="30" ht="38.099998474121094" customHeight="1">
      <x:c r="A30" s="72">
        <x:v>26</x:v>
      </x:c>
      <x:c r="B30" s="73">
        <x:v>46272</x:v>
      </x:c>
      <x:c r="C30" s="74" t="s">
        <x:v>482</x:v>
      </x:c>
      <x:c r="D30" s="74" t="s">
        <x:v>483</x:v>
      </x:c>
      <x:c r="E30" s="74" t="s">
        <x:v>484</x:v>
      </x:c>
      <x:c r="F30" s="74" t="s">
        <x:v>104</x:v>
      </x:c>
      <x:c r="G30" s="81" t="s">
        <x:v>204</x:v>
      </x:c>
      <x:c r="H30" s="75" t="s">
        <x:v>279</x:v>
      </x:c>
    </x:row>
    <x:row r="31" ht="38.099998474121094" customHeight="1">
      <x:c r="A31" s="72">
        <x:v>27</x:v>
      </x:c>
      <x:c r="B31" s="73">
        <x:v>46273</x:v>
      </x:c>
      <x:c r="C31" s="74" t="s">
        <x:v>482</x:v>
      </x:c>
      <x:c r="D31" s="74" t="s">
        <x:v>485</x:v>
      </x:c>
      <x:c r="E31" s="74" t="s">
        <x:v>486</x:v>
      </x:c>
      <x:c r="F31" s="74" t="s">
        <x:v>104</x:v>
      </x:c>
      <x:c r="G31" s="81" t="s">
        <x:v>204</x:v>
      </x:c>
      <x:c r="H31" s="75" t="s">
        <x:v>283</x:v>
      </x:c>
    </x:row>
    <x:row r="32" ht="38.099998474121094" customHeight="1">
      <x:c r="A32" s="72">
        <x:v>28</x:v>
      </x:c>
      <x:c r="B32" s="73">
        <x:v>46273</x:v>
      </x:c>
      <x:c r="C32" s="74" t="s">
        <x:v>487</x:v>
      </x:c>
      <x:c r="D32" s="74" t="s">
        <x:v>488</x:v>
      </x:c>
      <x:c r="E32" s="74" t="s">
        <x:v>489</x:v>
      </x:c>
      <x:c r="F32" s="74" t="s">
        <x:v>108</x:v>
      </x:c>
      <x:c r="G32" s="81" t="s">
        <x:v>204</x:v>
      </x:c>
      <x:c r="H32" s="75" t="s">
        <x:v>287</x:v>
      </x:c>
    </x:row>
    <x:row r="33" ht="38.099998474121094" customHeight="1">
      <x:c r="A33" s="72">
        <x:v>29</x:v>
      </x:c>
      <x:c r="B33" s="73">
        <x:v>46273</x:v>
      </x:c>
      <x:c r="C33" s="74" t="s">
        <x:v>490</x:v>
      </x:c>
      <x:c r="D33" s="74" t="s">
        <x:v>491</x:v>
      </x:c>
      <x:c r="E33" s="74" t="s">
        <x:v>492</x:v>
      </x:c>
      <x:c r="F33" s="74" t="s">
        <x:v>108</x:v>
      </x:c>
      <x:c r="G33" s="81" t="s">
        <x:v>204</x:v>
      </x:c>
      <x:c r="H33" s="75" t="s">
        <x:v>292</x:v>
      </x:c>
    </x:row>
    <x:row r="34" ht="38.099998474121094" customHeight="1">
      <x:c r="A34" s="76">
        <x:v>30</x:v>
      </x:c>
      <x:c r="B34" s="77">
        <x:v>46274</x:v>
      </x:c>
      <x:c r="C34" s="78" t="s">
        <x:v>493</x:v>
      </x:c>
      <x:c r="D34" s="78" t="s">
        <x:v>494</x:v>
      </x:c>
      <x:c r="E34" s="78" t="s">
        <x:v>495</x:v>
      </x:c>
      <x:c r="F34" s="78" t="s">
        <x:v>448</x:v>
      </x:c>
      <x:c r="G34" s="82" t="s">
        <x:v>496</x:v>
      </x:c>
      <x:c r="H34" s="79" t="s">
        <x:v>413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05078125" customWidth="1"/>
    <x:col min="2" max="2" width="13.046875" customWidth="1"/>
    <x:col min="3" max="3" width="18.0234375" customWidth="1"/>
    <x:col min="4" max="4" width="16.0078125" customWidth="1"/>
    <x:col min="5" max="5" width="9.953125" customWidth="1"/>
    <x:col min="6" max="6" width="11.97265625" customWidth="1"/>
    <x:col min="7" max="7" width="50.04296875" customWidth="1"/>
    <x:col min="8" max="8" width="18.0234375" customWidth="1"/>
    <x:col min="9" max="9" width="34.03125" customWidth="1"/>
    <x:col min="10" max="10" width="53.94140625" customWidth="1"/>
  </x:cols>
  <x:sheetData>
    <x:row r="1" ht="30" customHeight="1">
      <x:c r="A1" s="106" t="s">
        <x:v>497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32.099998474121094" customHeight="1">
      <x:c r="A2" s="134" t="s">
        <x:v>498</x:v>
      </x:c>
      <x:c r="B2" s="134"/>
      <x:c r="C2" s="134"/>
      <x:c r="D2" s="134"/>
      <x:c r="E2" s="134"/>
      <x:c r="F2" s="134"/>
      <x:c r="G2" s="134"/>
      <x:c r="H2" s="134"/>
      <x:c r="I2" s="134"/>
      <x:c r="J2" s="134"/>
    </x:row>
    <x:row r="4" ht="33.95000076293945" customHeight="1">
      <x:c r="A4" s="28" t="s">
        <x:v>16</x:v>
      </x:c>
      <x:c r="B4" s="29" t="s">
        <x:v>393</x:v>
      </x:c>
      <x:c r="C4" s="29" t="s">
        <x:v>499</x:v>
      </x:c>
      <x:c r="D4" s="29" t="s">
        <x:v>500</x:v>
      </x:c>
      <x:c r="E4" s="29" t="s">
        <x:v>403</x:v>
      </x:c>
      <x:c r="F4" s="29" t="s">
        <x:v>501</x:v>
      </x:c>
      <x:c r="G4" s="29" t="s">
        <x:v>405</x:v>
      </x:c>
      <x:c r="H4" s="29" t="s">
        <x:v>194</x:v>
      </x:c>
      <x:c r="I4" s="29" t="s">
        <x:v>502</x:v>
      </x:c>
      <x:c r="J4" s="30" t="s">
        <x:v>503</x:v>
      </x:c>
    </x:row>
    <x:row r="5" ht="32.099998474121094" customHeight="1">
      <x:c r="A5" s="72">
        <x:v>1</x:v>
      </x:c>
      <x:c r="B5" s="73">
        <x:v>46168</x:v>
      </x:c>
      <x:c r="C5" s="81" t="s">
        <x:v>100</x:v>
      </x:c>
      <x:c r="D5" s="61" t="s">
        <x:v>504</x:v>
      </x:c>
      <x:c r="E5" s="61" t="s">
        <x:v>505</x:v>
      </x:c>
      <x:c r="F5" s="61" t="s">
        <x:v>506</x:v>
      </x:c>
      <x:c r="G5" s="74" t="s">
        <x:v>507</x:v>
      </x:c>
      <x:c r="H5" s="74" t="s">
        <x:v>508</x:v>
      </x:c>
      <x:c r="I5" s="74" t="s">
        <x:v>509</x:v>
      </x:c>
      <x:c r="J5" s="75" t="s">
        <x:v>205</x:v>
      </x:c>
    </x:row>
    <x:row r="6" ht="32.099998474121094" customHeight="1">
      <x:c r="A6" s="72">
        <x:v>2</x:v>
      </x:c>
      <x:c r="B6" s="73">
        <x:v>46174</x:v>
      </x:c>
      <x:c r="C6" s="81" t="s">
        <x:v>100</x:v>
      </x:c>
      <x:c r="D6" s="61" t="s">
        <x:v>504</x:v>
      </x:c>
      <x:c r="E6" s="61" t="s">
        <x:v>505</x:v>
      </x:c>
      <x:c r="F6" s="61" t="s">
        <x:v>510</x:v>
      </x:c>
      <x:c r="G6" s="74" t="s">
        <x:v>511</x:v>
      </x:c>
      <x:c r="H6" s="74" t="s">
        <x:v>508</x:v>
      </x:c>
      <x:c r="I6" s="74" t="s">
        <x:v>512</x:v>
      </x:c>
      <x:c r="J6" s="75" t="s">
        <x:v>210</x:v>
      </x:c>
    </x:row>
    <x:row r="7" ht="32.099998474121094" customHeight="1">
      <x:c r="A7" s="72">
        <x:v>3</x:v>
      </x:c>
      <x:c r="B7" s="73">
        <x:v>46181</x:v>
      </x:c>
      <x:c r="C7" s="81" t="s">
        <x:v>100</x:v>
      </x:c>
      <x:c r="D7" s="61" t="s">
        <x:v>504</x:v>
      </x:c>
      <x:c r="E7" s="61" t="s">
        <x:v>505</x:v>
      </x:c>
      <x:c r="F7" s="61" t="s">
        <x:v>513</x:v>
      </x:c>
      <x:c r="G7" s="74" t="s">
        <x:v>514</x:v>
      </x:c>
      <x:c r="H7" s="74" t="s">
        <x:v>508</x:v>
      </x:c>
      <x:c r="I7" s="74" t="s">
        <x:v>515</x:v>
      </x:c>
      <x:c r="J7" s="75" t="s">
        <x:v>215</x:v>
      </x:c>
    </x:row>
    <x:row r="8" ht="32.099998474121094" customHeight="1">
      <x:c r="A8" s="72">
        <x:v>4</x:v>
      </x:c>
      <x:c r="B8" s="73">
        <x:v>46181</x:v>
      </x:c>
      <x:c r="C8" s="81" t="s">
        <x:v>100</x:v>
      </x:c>
      <x:c r="D8" s="61" t="s">
        <x:v>504</x:v>
      </x:c>
      <x:c r="E8" s="61" t="s">
        <x:v>505</x:v>
      </x:c>
      <x:c r="F8" s="61" t="s">
        <x:v>516</x:v>
      </x:c>
      <x:c r="G8" s="74" t="s">
        <x:v>517</x:v>
      </x:c>
      <x:c r="H8" s="74" t="s">
        <x:v>518</x:v>
      </x:c>
      <x:c r="I8" s="74" t="s">
        <x:v>519</x:v>
      </x:c>
      <x:c r="J8" s="75" t="s">
        <x:v>520</x:v>
      </x:c>
    </x:row>
    <x:row r="9" ht="32.099998474121094" customHeight="1">
      <x:c r="A9" s="72">
        <x:v>5</x:v>
      </x:c>
      <x:c r="B9" s="73">
        <x:v>46182</x:v>
      </x:c>
      <x:c r="C9" s="81" t="s">
        <x:v>100</x:v>
      </x:c>
      <x:c r="D9" s="61" t="s">
        <x:v>504</x:v>
      </x:c>
      <x:c r="E9" s="61" t="s">
        <x:v>505</x:v>
      </x:c>
      <x:c r="F9" s="61" t="s">
        <x:v>521</x:v>
      </x:c>
      <x:c r="G9" s="74" t="s">
        <x:v>522</x:v>
      </x:c>
      <x:c r="H9" s="74" t="s">
        <x:v>518</x:v>
      </x:c>
      <x:c r="I9" s="74" t="s">
        <x:v>523</x:v>
      </x:c>
      <x:c r="J9" s="75" t="s">
        <x:v>524</x:v>
      </x:c>
    </x:row>
    <x:row r="10" ht="32.099998474121094" customHeight="1">
      <x:c r="A10" s="72">
        <x:v>6</x:v>
      </x:c>
      <x:c r="B10" s="73">
        <x:v>46182</x:v>
      </x:c>
      <x:c r="C10" s="81" t="s">
        <x:v>100</x:v>
      </x:c>
      <x:c r="D10" s="61" t="s">
        <x:v>504</x:v>
      </x:c>
      <x:c r="E10" s="61" t="s">
        <x:v>505</x:v>
      </x:c>
      <x:c r="F10" s="61" t="s">
        <x:v>525</x:v>
      </x:c>
      <x:c r="G10" s="74" t="s">
        <x:v>526</x:v>
      </x:c>
      <x:c r="H10" s="74" t="s">
        <x:v>508</x:v>
      </x:c>
      <x:c r="I10" s="74" t="s">
        <x:v>527</x:v>
      </x:c>
      <x:c r="J10" s="75" t="s">
        <x:v>220</x:v>
      </x:c>
    </x:row>
    <x:row r="11" ht="32.099998474121094" customHeight="1">
      <x:c r="A11" s="72">
        <x:v>7</x:v>
      </x:c>
      <x:c r="B11" s="73">
        <x:v>46182</x:v>
      </x:c>
      <x:c r="C11" s="81" t="s">
        <x:v>100</x:v>
      </x:c>
      <x:c r="D11" s="61" t="s">
        <x:v>504</x:v>
      </x:c>
      <x:c r="E11" s="61" t="s">
        <x:v>505</x:v>
      </x:c>
      <x:c r="F11" s="61" t="s">
        <x:v>528</x:v>
      </x:c>
      <x:c r="G11" s="74" t="s">
        <x:v>529</x:v>
      </x:c>
      <x:c r="H11" s="74" t="s">
        <x:v>508</x:v>
      </x:c>
      <x:c r="I11" s="74" t="s">
        <x:v>530</x:v>
      </x:c>
      <x:c r="J11" s="75" t="s">
        <x:v>531</x:v>
      </x:c>
    </x:row>
    <x:row r="12" ht="32.099998474121094" customHeight="1">
      <x:c r="A12" s="72">
        <x:v>8</x:v>
      </x:c>
      <x:c r="B12" s="73">
        <x:v>46183</x:v>
      </x:c>
      <x:c r="C12" s="81" t="s">
        <x:v>100</x:v>
      </x:c>
      <x:c r="D12" s="61" t="s">
        <x:v>504</x:v>
      </x:c>
      <x:c r="E12" s="61" t="s">
        <x:v>505</x:v>
      </x:c>
      <x:c r="F12" s="61" t="s">
        <x:v>532</x:v>
      </x:c>
      <x:c r="G12" s="74" t="s">
        <x:v>533</x:v>
      </x:c>
      <x:c r="H12" s="74" t="s">
        <x:v>508</x:v>
      </x:c>
      <x:c r="I12" s="74" t="s">
        <x:v>534</x:v>
      </x:c>
      <x:c r="J12" s="75" t="s">
        <x:v>225</x:v>
      </x:c>
    </x:row>
    <x:row r="13" ht="32.099998474121094" customHeight="1">
      <x:c r="A13" s="72">
        <x:v>9</x:v>
      </x:c>
      <x:c r="B13" s="73">
        <x:v>46189</x:v>
      </x:c>
      <x:c r="C13" s="81" t="s">
        <x:v>100</x:v>
      </x:c>
      <x:c r="D13" s="61" t="s">
        <x:v>504</x:v>
      </x:c>
      <x:c r="E13" s="61" t="s">
        <x:v>505</x:v>
      </x:c>
      <x:c r="F13" s="61" t="s">
        <x:v>535</x:v>
      </x:c>
      <x:c r="G13" s="74" t="s">
        <x:v>536</x:v>
      </x:c>
      <x:c r="H13" s="74" t="s">
        <x:v>508</x:v>
      </x:c>
      <x:c r="I13" s="74" t="s">
        <x:v>537</x:v>
      </x:c>
      <x:c r="J13" s="75" t="s">
        <x:v>250</x:v>
      </x:c>
    </x:row>
    <x:row r="14" ht="32.099998474121094" customHeight="1">
      <x:c r="A14" s="72">
        <x:v>10</x:v>
      </x:c>
      <x:c r="B14" s="73">
        <x:v>46244</x:v>
      </x:c>
      <x:c r="C14" s="81" t="s">
        <x:v>100</x:v>
      </x:c>
      <x:c r="D14" s="61" t="s">
        <x:v>504</x:v>
      </x:c>
      <x:c r="E14" s="61" t="s">
        <x:v>538</x:v>
      </x:c>
      <x:c r="F14" s="61" t="s">
        <x:v>539</x:v>
      </x:c>
      <x:c r="G14" s="74" t="s">
        <x:v>540</x:v>
      </x:c>
      <x:c r="H14" s="74" t="s">
        <x:v>541</x:v>
      </x:c>
      <x:c r="I14" s="74" t="s">
        <x:v>542</x:v>
      </x:c>
      <x:c r="J14" s="75" t="s">
        <x:v>543</x:v>
      </x:c>
    </x:row>
    <x:row r="15" ht="32.099998474121094" customHeight="1">
      <x:c r="A15" s="72">
        <x:v>11</x:v>
      </x:c>
      <x:c r="B15" s="73">
        <x:v>46244</x:v>
      </x:c>
      <x:c r="C15" s="81" t="s">
        <x:v>100</x:v>
      </x:c>
      <x:c r="D15" s="61" t="s">
        <x:v>504</x:v>
      </x:c>
      <x:c r="E15" s="61" t="s">
        <x:v>538</x:v>
      </x:c>
      <x:c r="F15" s="61" t="s">
        <x:v>544</x:v>
      </x:c>
      <x:c r="G15" s="74" t="s">
        <x:v>545</x:v>
      </x:c>
      <x:c r="H15" s="74" t="s">
        <x:v>541</x:v>
      </x:c>
      <x:c r="I15" s="74" t="s">
        <x:v>542</x:v>
      </x:c>
      <x:c r="J15" s="75" t="s">
        <x:v>546</x:v>
      </x:c>
    </x:row>
    <x:row r="16" ht="32.099998474121094" customHeight="1">
      <x:c r="A16" s="72">
        <x:v>12</x:v>
      </x:c>
      <x:c r="B16" s="73">
        <x:v>46244</x:v>
      </x:c>
      <x:c r="C16" s="81" t="s">
        <x:v>100</x:v>
      </x:c>
      <x:c r="D16" s="61" t="s">
        <x:v>504</x:v>
      </x:c>
      <x:c r="E16" s="61" t="s">
        <x:v>538</x:v>
      </x:c>
      <x:c r="F16" s="61" t="s">
        <x:v>547</x:v>
      </x:c>
      <x:c r="G16" s="74" t="s">
        <x:v>548</x:v>
      </x:c>
      <x:c r="H16" s="74" t="s">
        <x:v>541</x:v>
      </x:c>
      <x:c r="I16" s="74" t="s">
        <x:v>542</x:v>
      </x:c>
      <x:c r="J16" s="75" t="s">
        <x:v>549</x:v>
      </x:c>
    </x:row>
    <x:row r="17" ht="32.099998474121094" customHeight="1">
      <x:c r="A17" s="72">
        <x:v>13</x:v>
      </x:c>
      <x:c r="B17" s="73">
        <x:v>46244</x:v>
      </x:c>
      <x:c r="C17" s="81" t="s">
        <x:v>100</x:v>
      </x:c>
      <x:c r="D17" s="61" t="s">
        <x:v>504</x:v>
      </x:c>
      <x:c r="E17" s="61" t="s">
        <x:v>538</x:v>
      </x:c>
      <x:c r="F17" s="61" t="s">
        <x:v>550</x:v>
      </x:c>
      <x:c r="G17" s="74" t="s">
        <x:v>551</x:v>
      </x:c>
      <x:c r="H17" s="74" t="s">
        <x:v>541</x:v>
      </x:c>
      <x:c r="I17" s="74" t="s">
        <x:v>542</x:v>
      </x:c>
      <x:c r="J17" s="75" t="s">
        <x:v>552</x:v>
      </x:c>
    </x:row>
    <x:row r="18" ht="32.099998474121094" customHeight="1">
      <x:c r="A18" s="72">
        <x:v>14</x:v>
      </x:c>
      <x:c r="B18" s="73">
        <x:v>46241</x:v>
      </x:c>
      <x:c r="C18" s="81" t="s">
        <x:v>100</x:v>
      </x:c>
      <x:c r="D18" s="61" t="s">
        <x:v>504</x:v>
      </x:c>
      <x:c r="E18" s="61" t="s">
        <x:v>538</x:v>
      </x:c>
      <x:c r="F18" s="61" t="s">
        <x:v>553</x:v>
      </x:c>
      <x:c r="G18" s="74" t="s">
        <x:v>554</x:v>
      </x:c>
      <x:c r="H18" s="74" t="s">
        <x:v>541</x:v>
      </x:c>
      <x:c r="I18" s="74" t="s">
        <x:v>542</x:v>
      </x:c>
      <x:c r="J18" s="75" t="s">
        <x:v>555</x:v>
      </x:c>
    </x:row>
    <x:row r="19" ht="32.099998474121094" customHeight="1">
      <x:c r="A19" s="72">
        <x:v>15</x:v>
      </x:c>
      <x:c r="B19" s="73">
        <x:v>46241</x:v>
      </x:c>
      <x:c r="C19" s="81" t="s">
        <x:v>100</x:v>
      </x:c>
      <x:c r="D19" s="61" t="s">
        <x:v>504</x:v>
      </x:c>
      <x:c r="E19" s="61" t="s">
        <x:v>538</x:v>
      </x:c>
      <x:c r="F19" s="61" t="s">
        <x:v>556</x:v>
      </x:c>
      <x:c r="G19" s="74" t="s">
        <x:v>557</x:v>
      </x:c>
      <x:c r="H19" s="74" t="s">
        <x:v>541</x:v>
      </x:c>
      <x:c r="I19" s="74" t="s">
        <x:v>542</x:v>
      </x:c>
      <x:c r="J19" s="75" t="s">
        <x:v>558</x:v>
      </x:c>
    </x:row>
    <x:row r="20" ht="32.099998474121094" customHeight="1">
      <x:c r="A20" s="72">
        <x:v>16</x:v>
      </x:c>
      <x:c r="B20" s="73">
        <x:v>46241</x:v>
      </x:c>
      <x:c r="C20" s="81" t="s">
        <x:v>100</x:v>
      </x:c>
      <x:c r="D20" s="61" t="s">
        <x:v>504</x:v>
      </x:c>
      <x:c r="E20" s="61" t="s">
        <x:v>538</x:v>
      </x:c>
      <x:c r="F20" s="61" t="s">
        <x:v>559</x:v>
      </x:c>
      <x:c r="G20" s="74" t="s">
        <x:v>560</x:v>
      </x:c>
      <x:c r="H20" s="74" t="s">
        <x:v>541</x:v>
      </x:c>
      <x:c r="I20" s="74" t="s">
        <x:v>542</x:v>
      </x:c>
      <x:c r="J20" s="75" t="s">
        <x:v>561</x:v>
      </x:c>
    </x:row>
    <x:row r="21" ht="32.099998474121094" customHeight="1">
      <x:c r="A21" s="72">
        <x:v>17</x:v>
      </x:c>
      <x:c r="B21" s="73">
        <x:v>46241</x:v>
      </x:c>
      <x:c r="C21" s="81" t="s">
        <x:v>100</x:v>
      </x:c>
      <x:c r="D21" s="61" t="s">
        <x:v>504</x:v>
      </x:c>
      <x:c r="E21" s="61" t="s">
        <x:v>538</x:v>
      </x:c>
      <x:c r="F21" s="61" t="s">
        <x:v>562</x:v>
      </x:c>
      <x:c r="G21" s="74" t="s">
        <x:v>563</x:v>
      </x:c>
      <x:c r="H21" s="74" t="s">
        <x:v>541</x:v>
      </x:c>
      <x:c r="I21" s="74" t="s">
        <x:v>542</x:v>
      </x:c>
      <x:c r="J21" s="75" t="s">
        <x:v>564</x:v>
      </x:c>
    </x:row>
    <x:row r="22" ht="32.099998474121094" customHeight="1">
      <x:c r="A22" s="72">
        <x:v>18</x:v>
      </x:c>
      <x:c r="B22" s="73">
        <x:v>46241</x:v>
      </x:c>
      <x:c r="C22" s="81" t="s">
        <x:v>100</x:v>
      </x:c>
      <x:c r="D22" s="61" t="s">
        <x:v>504</x:v>
      </x:c>
      <x:c r="E22" s="61" t="s">
        <x:v>538</x:v>
      </x:c>
      <x:c r="F22" s="61" t="s">
        <x:v>565</x:v>
      </x:c>
      <x:c r="G22" s="74" t="s">
        <x:v>566</x:v>
      </x:c>
      <x:c r="H22" s="74" t="s">
        <x:v>541</x:v>
      </x:c>
      <x:c r="I22" s="74" t="s">
        <x:v>542</x:v>
      </x:c>
      <x:c r="J22" s="75" t="s">
        <x:v>567</x:v>
      </x:c>
    </x:row>
    <x:row r="23" ht="32.099998474121094" customHeight="1">
      <x:c r="A23" s="72">
        <x:v>19</x:v>
      </x:c>
      <x:c r="B23" s="73">
        <x:v>46241</x:v>
      </x:c>
      <x:c r="C23" s="81" t="s">
        <x:v>100</x:v>
      </x:c>
      <x:c r="D23" s="61" t="s">
        <x:v>504</x:v>
      </x:c>
      <x:c r="E23" s="61" t="s">
        <x:v>538</x:v>
      </x:c>
      <x:c r="F23" s="61" t="s">
        <x:v>568</x:v>
      </x:c>
      <x:c r="G23" s="74" t="s">
        <x:v>569</x:v>
      </x:c>
      <x:c r="H23" s="74" t="s">
        <x:v>541</x:v>
      </x:c>
      <x:c r="I23" s="74" t="s">
        <x:v>542</x:v>
      </x:c>
      <x:c r="J23" s="75" t="s">
        <x:v>570</x:v>
      </x:c>
    </x:row>
    <x:row r="24" ht="32.099998474121094" customHeight="1">
      <x:c r="A24" s="72">
        <x:v>20</x:v>
      </x:c>
      <x:c r="B24" s="73">
        <x:v>46241</x:v>
      </x:c>
      <x:c r="C24" s="81" t="s">
        <x:v>100</x:v>
      </x:c>
      <x:c r="D24" s="61" t="s">
        <x:v>504</x:v>
      </x:c>
      <x:c r="E24" s="61" t="s">
        <x:v>538</x:v>
      </x:c>
      <x:c r="F24" s="61" t="s">
        <x:v>571</x:v>
      </x:c>
      <x:c r="G24" s="74" t="s">
        <x:v>572</x:v>
      </x:c>
      <x:c r="H24" s="74" t="s">
        <x:v>541</x:v>
      </x:c>
      <x:c r="I24" s="74" t="s">
        <x:v>542</x:v>
      </x:c>
      <x:c r="J24" s="75" t="s">
        <x:v>573</x:v>
      </x:c>
    </x:row>
    <x:row r="25" ht="32.099998474121094" customHeight="1">
      <x:c r="A25" s="72">
        <x:v>21</x:v>
      </x:c>
      <x:c r="B25" s="73">
        <x:v>46241</x:v>
      </x:c>
      <x:c r="C25" s="81" t="s">
        <x:v>100</x:v>
      </x:c>
      <x:c r="D25" s="61" t="s">
        <x:v>504</x:v>
      </x:c>
      <x:c r="E25" s="61" t="s">
        <x:v>538</x:v>
      </x:c>
      <x:c r="F25" s="61" t="s">
        <x:v>574</x:v>
      </x:c>
      <x:c r="G25" s="74" t="s">
        <x:v>575</x:v>
      </x:c>
      <x:c r="H25" s="74" t="s">
        <x:v>541</x:v>
      </x:c>
      <x:c r="I25" s="74" t="s">
        <x:v>542</x:v>
      </x:c>
      <x:c r="J25" s="75" t="s">
        <x:v>576</x:v>
      </x:c>
    </x:row>
    <x:row r="26" ht="32.099998474121094" customHeight="1">
      <x:c r="A26" s="72">
        <x:v>22</x:v>
      </x:c>
      <x:c r="B26" s="73">
        <x:v>46241</x:v>
      </x:c>
      <x:c r="C26" s="81" t="s">
        <x:v>100</x:v>
      </x:c>
      <x:c r="D26" s="61" t="s">
        <x:v>504</x:v>
      </x:c>
      <x:c r="E26" s="61" t="s">
        <x:v>538</x:v>
      </x:c>
      <x:c r="F26" s="61" t="s">
        <x:v>577</x:v>
      </x:c>
      <x:c r="G26" s="74" t="s">
        <x:v>578</x:v>
      </x:c>
      <x:c r="H26" s="74" t="s">
        <x:v>541</x:v>
      </x:c>
      <x:c r="I26" s="74" t="s">
        <x:v>542</x:v>
      </x:c>
      <x:c r="J26" s="75" t="s">
        <x:v>579</x:v>
      </x:c>
    </x:row>
    <x:row r="27" ht="32.099998474121094" customHeight="1">
      <x:c r="A27" s="72">
        <x:v>23</x:v>
      </x:c>
      <x:c r="B27" s="73">
        <x:v>46241</x:v>
      </x:c>
      <x:c r="C27" s="81" t="s">
        <x:v>100</x:v>
      </x:c>
      <x:c r="D27" s="61" t="s">
        <x:v>504</x:v>
      </x:c>
      <x:c r="E27" s="61" t="s">
        <x:v>538</x:v>
      </x:c>
      <x:c r="F27" s="61" t="s">
        <x:v>580</x:v>
      </x:c>
      <x:c r="G27" s="74" t="s">
        <x:v>581</x:v>
      </x:c>
      <x:c r="H27" s="74" t="s">
        <x:v>541</x:v>
      </x:c>
      <x:c r="I27" s="74" t="s">
        <x:v>542</x:v>
      </x:c>
      <x:c r="J27" s="75" t="s">
        <x:v>582</x:v>
      </x:c>
    </x:row>
    <x:row r="28" ht="32.099998474121094" customHeight="1">
      <x:c r="A28" s="72">
        <x:v>24</x:v>
      </x:c>
      <x:c r="B28" s="73">
        <x:v>46241</x:v>
      </x:c>
      <x:c r="C28" s="81" t="s">
        <x:v>100</x:v>
      </x:c>
      <x:c r="D28" s="61" t="s">
        <x:v>504</x:v>
      </x:c>
      <x:c r="E28" s="61" t="s">
        <x:v>538</x:v>
      </x:c>
      <x:c r="F28" s="61" t="s">
        <x:v>583</x:v>
      </x:c>
      <x:c r="G28" s="74" t="s">
        <x:v>584</x:v>
      </x:c>
      <x:c r="H28" s="74" t="s">
        <x:v>541</x:v>
      </x:c>
      <x:c r="I28" s="74" t="s">
        <x:v>542</x:v>
      </x:c>
      <x:c r="J28" s="75" t="s">
        <x:v>585</x:v>
      </x:c>
    </x:row>
    <x:row r="29" ht="32.099998474121094" customHeight="1">
      <x:c r="A29" s="72">
        <x:v>25</x:v>
      </x:c>
      <x:c r="B29" s="73">
        <x:v>46241</x:v>
      </x:c>
      <x:c r="C29" s="81" t="s">
        <x:v>100</x:v>
      </x:c>
      <x:c r="D29" s="61" t="s">
        <x:v>504</x:v>
      </x:c>
      <x:c r="E29" s="61" t="s">
        <x:v>538</x:v>
      </x:c>
      <x:c r="F29" s="61" t="s">
        <x:v>586</x:v>
      </x:c>
      <x:c r="G29" s="74" t="s">
        <x:v>587</x:v>
      </x:c>
      <x:c r="H29" s="74" t="s">
        <x:v>541</x:v>
      </x:c>
      <x:c r="I29" s="74" t="s">
        <x:v>542</x:v>
      </x:c>
      <x:c r="J29" s="75" t="s">
        <x:v>588</x:v>
      </x:c>
    </x:row>
    <x:row r="30" ht="32.099998474121094" customHeight="1">
      <x:c r="A30" s="72">
        <x:v>26</x:v>
      </x:c>
      <x:c r="B30" s="73">
        <x:v>46241</x:v>
      </x:c>
      <x:c r="C30" s="81" t="s">
        <x:v>100</x:v>
      </x:c>
      <x:c r="D30" s="61" t="s">
        <x:v>504</x:v>
      </x:c>
      <x:c r="E30" s="61" t="s">
        <x:v>538</x:v>
      </x:c>
      <x:c r="F30" s="61" t="s">
        <x:v>589</x:v>
      </x:c>
      <x:c r="G30" s="74" t="s">
        <x:v>590</x:v>
      </x:c>
      <x:c r="H30" s="74" t="s">
        <x:v>541</x:v>
      </x:c>
      <x:c r="I30" s="74" t="s">
        <x:v>542</x:v>
      </x:c>
      <x:c r="J30" s="75" t="s">
        <x:v>591</x:v>
      </x:c>
    </x:row>
    <x:row r="31" ht="32.099998474121094" customHeight="1">
      <x:c r="A31" s="72">
        <x:v>27</x:v>
      </x:c>
      <x:c r="B31" s="73">
        <x:v>46241</x:v>
      </x:c>
      <x:c r="C31" s="81" t="s">
        <x:v>100</x:v>
      </x:c>
      <x:c r="D31" s="61" t="s">
        <x:v>504</x:v>
      </x:c>
      <x:c r="E31" s="61" t="s">
        <x:v>538</x:v>
      </x:c>
      <x:c r="F31" s="61" t="s">
        <x:v>592</x:v>
      </x:c>
      <x:c r="G31" s="74" t="s">
        <x:v>593</x:v>
      </x:c>
      <x:c r="H31" s="74" t="s">
        <x:v>541</x:v>
      </x:c>
      <x:c r="I31" s="74" t="s">
        <x:v>542</x:v>
      </x:c>
      <x:c r="J31" s="75" t="s">
        <x:v>594</x:v>
      </x:c>
    </x:row>
    <x:row r="32" ht="32.099998474121094" customHeight="1">
      <x:c r="A32" s="72">
        <x:v>28</x:v>
      </x:c>
      <x:c r="B32" s="73">
        <x:v>46241</x:v>
      </x:c>
      <x:c r="C32" s="81" t="s">
        <x:v>100</x:v>
      </x:c>
      <x:c r="D32" s="61" t="s">
        <x:v>504</x:v>
      </x:c>
      <x:c r="E32" s="61" t="s">
        <x:v>538</x:v>
      </x:c>
      <x:c r="F32" s="61" t="s">
        <x:v>595</x:v>
      </x:c>
      <x:c r="G32" s="74" t="s">
        <x:v>596</x:v>
      </x:c>
      <x:c r="H32" s="74" t="s">
        <x:v>541</x:v>
      </x:c>
      <x:c r="I32" s="74" t="s">
        <x:v>542</x:v>
      </x:c>
      <x:c r="J32" s="75" t="s">
        <x:v>597</x:v>
      </x:c>
    </x:row>
    <x:row r="33" ht="32.099998474121094" customHeight="1">
      <x:c r="A33" s="72">
        <x:v>29</x:v>
      </x:c>
      <x:c r="B33" s="73">
        <x:v>46241</x:v>
      </x:c>
      <x:c r="C33" s="81" t="s">
        <x:v>100</x:v>
      </x:c>
      <x:c r="D33" s="61" t="s">
        <x:v>504</x:v>
      </x:c>
      <x:c r="E33" s="61" t="s">
        <x:v>538</x:v>
      </x:c>
      <x:c r="F33" s="61" t="s">
        <x:v>598</x:v>
      </x:c>
      <x:c r="G33" s="74" t="s">
        <x:v>599</x:v>
      </x:c>
      <x:c r="H33" s="74" t="s">
        <x:v>541</x:v>
      </x:c>
      <x:c r="I33" s="74" t="s">
        <x:v>542</x:v>
      </x:c>
      <x:c r="J33" s="75" t="s">
        <x:v>600</x:v>
      </x:c>
    </x:row>
    <x:row r="34" ht="32.099998474121094" customHeight="1">
      <x:c r="A34" s="72">
        <x:v>30</x:v>
      </x:c>
      <x:c r="B34" s="73">
        <x:v>46241</x:v>
      </x:c>
      <x:c r="C34" s="81" t="s">
        <x:v>100</x:v>
      </x:c>
      <x:c r="D34" s="61" t="s">
        <x:v>504</x:v>
      </x:c>
      <x:c r="E34" s="61" t="s">
        <x:v>538</x:v>
      </x:c>
      <x:c r="F34" s="61" t="s">
        <x:v>601</x:v>
      </x:c>
      <x:c r="G34" s="74" t="s">
        <x:v>602</x:v>
      </x:c>
      <x:c r="H34" s="74" t="s">
        <x:v>541</x:v>
      </x:c>
      <x:c r="I34" s="74" t="s">
        <x:v>542</x:v>
      </x:c>
      <x:c r="J34" s="75" t="s">
        <x:v>603</x:v>
      </x:c>
    </x:row>
    <x:row r="35" ht="32.099998474121094" customHeight="1">
      <x:c r="A35" s="72">
        <x:v>31</x:v>
      </x:c>
      <x:c r="B35" s="73">
        <x:v>46224</x:v>
      </x:c>
      <x:c r="C35" s="81" t="s">
        <x:v>100</x:v>
      </x:c>
      <x:c r="D35" s="61" t="s">
        <x:v>504</x:v>
      </x:c>
      <x:c r="E35" s="61" t="s">
        <x:v>538</x:v>
      </x:c>
      <x:c r="F35" s="61" t="s">
        <x:v>604</x:v>
      </x:c>
      <x:c r="G35" s="74" t="s">
        <x:v>605</x:v>
      </x:c>
      <x:c r="H35" s="74" t="s">
        <x:v>541</x:v>
      </x:c>
      <x:c r="I35" s="74" t="s">
        <x:v>542</x:v>
      </x:c>
      <x:c r="J35" s="75" t="s">
        <x:v>606</x:v>
      </x:c>
    </x:row>
    <x:row r="36" ht="32.099998474121094" customHeight="1">
      <x:c r="A36" s="72">
        <x:v>32</x:v>
      </x:c>
      <x:c r="B36" s="73">
        <x:v>46224</x:v>
      </x:c>
      <x:c r="C36" s="81" t="s">
        <x:v>100</x:v>
      </x:c>
      <x:c r="D36" s="61" t="s">
        <x:v>504</x:v>
      </x:c>
      <x:c r="E36" s="61" t="s">
        <x:v>538</x:v>
      </x:c>
      <x:c r="F36" s="61" t="s">
        <x:v>607</x:v>
      </x:c>
      <x:c r="G36" s="74" t="s">
        <x:v>608</x:v>
      </x:c>
      <x:c r="H36" s="74" t="s">
        <x:v>541</x:v>
      </x:c>
      <x:c r="I36" s="74" t="s">
        <x:v>542</x:v>
      </x:c>
      <x:c r="J36" s="75" t="s">
        <x:v>609</x:v>
      </x:c>
    </x:row>
    <x:row r="37" ht="32.099998474121094" customHeight="1">
      <x:c r="A37" s="72">
        <x:v>33</x:v>
      </x:c>
      <x:c r="B37" s="73">
        <x:v>46224</x:v>
      </x:c>
      <x:c r="C37" s="81" t="s">
        <x:v>100</x:v>
      </x:c>
      <x:c r="D37" s="61" t="s">
        <x:v>504</x:v>
      </x:c>
      <x:c r="E37" s="61" t="s">
        <x:v>538</x:v>
      </x:c>
      <x:c r="F37" s="61" t="s">
        <x:v>610</x:v>
      </x:c>
      <x:c r="G37" s="74" t="s">
        <x:v>611</x:v>
      </x:c>
      <x:c r="H37" s="74" t="s">
        <x:v>541</x:v>
      </x:c>
      <x:c r="I37" s="74" t="s">
        <x:v>542</x:v>
      </x:c>
      <x:c r="J37" s="75" t="s">
        <x:v>612</x:v>
      </x:c>
    </x:row>
    <x:row r="38" ht="32.099998474121094" customHeight="1">
      <x:c r="A38" s="72">
        <x:v>34</x:v>
      </x:c>
      <x:c r="B38" s="73">
        <x:v>46224</x:v>
      </x:c>
      <x:c r="C38" s="81" t="s">
        <x:v>100</x:v>
      </x:c>
      <x:c r="D38" s="61" t="s">
        <x:v>504</x:v>
      </x:c>
      <x:c r="E38" s="61" t="s">
        <x:v>538</x:v>
      </x:c>
      <x:c r="F38" s="61" t="s">
        <x:v>613</x:v>
      </x:c>
      <x:c r="G38" s="74" t="s">
        <x:v>614</x:v>
      </x:c>
      <x:c r="H38" s="74" t="s">
        <x:v>541</x:v>
      </x:c>
      <x:c r="I38" s="74" t="s">
        <x:v>542</x:v>
      </x:c>
      <x:c r="J38" s="75" t="s">
        <x:v>615</x:v>
      </x:c>
    </x:row>
    <x:row r="39" ht="32.099998474121094" customHeight="1">
      <x:c r="A39" s="72">
        <x:v>35</x:v>
      </x:c>
      <x:c r="B39" s="73">
        <x:v>46224</x:v>
      </x:c>
      <x:c r="C39" s="81" t="s">
        <x:v>100</x:v>
      </x:c>
      <x:c r="D39" s="61" t="s">
        <x:v>504</x:v>
      </x:c>
      <x:c r="E39" s="61" t="s">
        <x:v>538</x:v>
      </x:c>
      <x:c r="F39" s="61" t="s">
        <x:v>616</x:v>
      </x:c>
      <x:c r="G39" s="74" t="s">
        <x:v>617</x:v>
      </x:c>
      <x:c r="H39" s="74" t="s">
        <x:v>541</x:v>
      </x:c>
      <x:c r="I39" s="74" t="s">
        <x:v>542</x:v>
      </x:c>
      <x:c r="J39" s="75" t="s">
        <x:v>618</x:v>
      </x:c>
    </x:row>
    <x:row r="40" ht="32.099998474121094" customHeight="1">
      <x:c r="A40" s="72">
        <x:v>36</x:v>
      </x:c>
      <x:c r="B40" s="73">
        <x:v>46224</x:v>
      </x:c>
      <x:c r="C40" s="81" t="s">
        <x:v>100</x:v>
      </x:c>
      <x:c r="D40" s="61" t="s">
        <x:v>504</x:v>
      </x:c>
      <x:c r="E40" s="61" t="s">
        <x:v>538</x:v>
      </x:c>
      <x:c r="F40" s="61" t="s">
        <x:v>619</x:v>
      </x:c>
      <x:c r="G40" s="74" t="s">
        <x:v>620</x:v>
      </x:c>
      <x:c r="H40" s="74" t="s">
        <x:v>541</x:v>
      </x:c>
      <x:c r="I40" s="74" t="s">
        <x:v>542</x:v>
      </x:c>
      <x:c r="J40" s="75" t="s">
        <x:v>621</x:v>
      </x:c>
    </x:row>
    <x:row r="41" ht="32.099998474121094" customHeight="1">
      <x:c r="A41" s="72">
        <x:v>37</x:v>
      </x:c>
      <x:c r="B41" s="73">
        <x:v>46224</x:v>
      </x:c>
      <x:c r="C41" s="81" t="s">
        <x:v>100</x:v>
      </x:c>
      <x:c r="D41" s="61" t="s">
        <x:v>504</x:v>
      </x:c>
      <x:c r="E41" s="61" t="s">
        <x:v>538</x:v>
      </x:c>
      <x:c r="F41" s="61" t="s">
        <x:v>622</x:v>
      </x:c>
      <x:c r="G41" s="74" t="s">
        <x:v>623</x:v>
      </x:c>
      <x:c r="H41" s="74" t="s">
        <x:v>541</x:v>
      </x:c>
      <x:c r="I41" s="74" t="s">
        <x:v>542</x:v>
      </x:c>
      <x:c r="J41" s="75" t="s">
        <x:v>624</x:v>
      </x:c>
    </x:row>
    <x:row r="42" ht="32.099998474121094" customHeight="1">
      <x:c r="A42" s="72">
        <x:v>38</x:v>
      </x:c>
      <x:c r="B42" s="73">
        <x:v>46224</x:v>
      </x:c>
      <x:c r="C42" s="81" t="s">
        <x:v>100</x:v>
      </x:c>
      <x:c r="D42" s="61" t="s">
        <x:v>504</x:v>
      </x:c>
      <x:c r="E42" s="61" t="s">
        <x:v>538</x:v>
      </x:c>
      <x:c r="F42" s="61" t="s">
        <x:v>625</x:v>
      </x:c>
      <x:c r="G42" s="74" t="s">
        <x:v>626</x:v>
      </x:c>
      <x:c r="H42" s="74" t="s">
        <x:v>541</x:v>
      </x:c>
      <x:c r="I42" s="74" t="s">
        <x:v>542</x:v>
      </x:c>
      <x:c r="J42" s="75" t="s">
        <x:v>627</x:v>
      </x:c>
    </x:row>
    <x:row r="43" ht="32.099998474121094" customHeight="1">
      <x:c r="A43" s="72">
        <x:v>39</x:v>
      </x:c>
      <x:c r="B43" s="73">
        <x:v>46224</x:v>
      </x:c>
      <x:c r="C43" s="81" t="s">
        <x:v>100</x:v>
      </x:c>
      <x:c r="D43" s="61" t="s">
        <x:v>504</x:v>
      </x:c>
      <x:c r="E43" s="61" t="s">
        <x:v>538</x:v>
      </x:c>
      <x:c r="F43" s="61" t="s">
        <x:v>628</x:v>
      </x:c>
      <x:c r="G43" s="74" t="s">
        <x:v>629</x:v>
      </x:c>
      <x:c r="H43" s="74" t="s">
        <x:v>541</x:v>
      </x:c>
      <x:c r="I43" s="74" t="s">
        <x:v>542</x:v>
      </x:c>
      <x:c r="J43" s="75" t="s">
        <x:v>630</x:v>
      </x:c>
    </x:row>
    <x:row r="44" ht="32.099998474121094" customHeight="1">
      <x:c r="A44" s="72">
        <x:v>40</x:v>
      </x:c>
      <x:c r="B44" s="73">
        <x:v>46224</x:v>
      </x:c>
      <x:c r="C44" s="81" t="s">
        <x:v>100</x:v>
      </x:c>
      <x:c r="D44" s="61" t="s">
        <x:v>504</x:v>
      </x:c>
      <x:c r="E44" s="61" t="s">
        <x:v>538</x:v>
      </x:c>
      <x:c r="F44" s="61" t="s">
        <x:v>631</x:v>
      </x:c>
      <x:c r="G44" s="74" t="s">
        <x:v>632</x:v>
      </x:c>
      <x:c r="H44" s="74" t="s">
        <x:v>541</x:v>
      </x:c>
      <x:c r="I44" s="74" t="s">
        <x:v>542</x:v>
      </x:c>
      <x:c r="J44" s="75" t="s">
        <x:v>633</x:v>
      </x:c>
    </x:row>
    <x:row r="45" ht="32.099998474121094" customHeight="1">
      <x:c r="A45" s="72">
        <x:v>41</x:v>
      </x:c>
      <x:c r="B45" s="73">
        <x:v>46224</x:v>
      </x:c>
      <x:c r="C45" s="81" t="s">
        <x:v>100</x:v>
      </x:c>
      <x:c r="D45" s="61" t="s">
        <x:v>504</x:v>
      </x:c>
      <x:c r="E45" s="61" t="s">
        <x:v>538</x:v>
      </x:c>
      <x:c r="F45" s="61" t="s">
        <x:v>634</x:v>
      </x:c>
      <x:c r="G45" s="74" t="s">
        <x:v>635</x:v>
      </x:c>
      <x:c r="H45" s="74" t="s">
        <x:v>541</x:v>
      </x:c>
      <x:c r="I45" s="74" t="s">
        <x:v>542</x:v>
      </x:c>
      <x:c r="J45" s="75" t="s">
        <x:v>636</x:v>
      </x:c>
    </x:row>
    <x:row r="46" ht="32.099998474121094" customHeight="1">
      <x:c r="A46" s="72">
        <x:v>42</x:v>
      </x:c>
      <x:c r="B46" s="73">
        <x:v>46224</x:v>
      </x:c>
      <x:c r="C46" s="81" t="s">
        <x:v>100</x:v>
      </x:c>
      <x:c r="D46" s="61" t="s">
        <x:v>504</x:v>
      </x:c>
      <x:c r="E46" s="61" t="s">
        <x:v>538</x:v>
      </x:c>
      <x:c r="F46" s="61" t="s">
        <x:v>637</x:v>
      </x:c>
      <x:c r="G46" s="74" t="s">
        <x:v>638</x:v>
      </x:c>
      <x:c r="H46" s="74" t="s">
        <x:v>541</x:v>
      </x:c>
      <x:c r="I46" s="74" t="s">
        <x:v>542</x:v>
      </x:c>
      <x:c r="J46" s="75" t="s">
        <x:v>639</x:v>
      </x:c>
    </x:row>
    <x:row r="47" ht="32.099998474121094" customHeight="1">
      <x:c r="A47" s="72">
        <x:v>43</x:v>
      </x:c>
      <x:c r="B47" s="73">
        <x:v>46224</x:v>
      </x:c>
      <x:c r="C47" s="81" t="s">
        <x:v>100</x:v>
      </x:c>
      <x:c r="D47" s="61" t="s">
        <x:v>504</x:v>
      </x:c>
      <x:c r="E47" s="61" t="s">
        <x:v>538</x:v>
      </x:c>
      <x:c r="F47" s="61" t="s">
        <x:v>640</x:v>
      </x:c>
      <x:c r="G47" s="74" t="s">
        <x:v>641</x:v>
      </x:c>
      <x:c r="H47" s="74" t="s">
        <x:v>541</x:v>
      </x:c>
      <x:c r="I47" s="74" t="s">
        <x:v>542</x:v>
      </x:c>
      <x:c r="J47" s="75" t="s">
        <x:v>642</x:v>
      </x:c>
    </x:row>
    <x:row r="48" ht="32.099998474121094" customHeight="1">
      <x:c r="A48" s="72">
        <x:v>44</x:v>
      </x:c>
      <x:c r="B48" s="73">
        <x:v>46224</x:v>
      </x:c>
      <x:c r="C48" s="81" t="s">
        <x:v>100</x:v>
      </x:c>
      <x:c r="D48" s="61" t="s">
        <x:v>504</x:v>
      </x:c>
      <x:c r="E48" s="61" t="s">
        <x:v>538</x:v>
      </x:c>
      <x:c r="F48" s="61" t="s">
        <x:v>643</x:v>
      </x:c>
      <x:c r="G48" s="74" t="s">
        <x:v>644</x:v>
      </x:c>
      <x:c r="H48" s="74" t="s">
        <x:v>541</x:v>
      </x:c>
      <x:c r="I48" s="74" t="s">
        <x:v>542</x:v>
      </x:c>
      <x:c r="J48" s="75" t="s">
        <x:v>645</x:v>
      </x:c>
    </x:row>
    <x:row r="49" ht="32.099998474121094" customHeight="1">
      <x:c r="A49" s="72">
        <x:v>45</x:v>
      </x:c>
      <x:c r="B49" s="73">
        <x:v>46224</x:v>
      </x:c>
      <x:c r="C49" s="81" t="s">
        <x:v>100</x:v>
      </x:c>
      <x:c r="D49" s="61" t="s">
        <x:v>504</x:v>
      </x:c>
      <x:c r="E49" s="61" t="s">
        <x:v>538</x:v>
      </x:c>
      <x:c r="F49" s="61" t="s">
        <x:v>646</x:v>
      </x:c>
      <x:c r="G49" s="74" t="s">
        <x:v>647</x:v>
      </x:c>
      <x:c r="H49" s="74" t="s">
        <x:v>541</x:v>
      </x:c>
      <x:c r="I49" s="74" t="s">
        <x:v>542</x:v>
      </x:c>
      <x:c r="J49" s="75" t="s">
        <x:v>648</x:v>
      </x:c>
    </x:row>
    <x:row r="50" ht="32.099998474121094" customHeight="1">
      <x:c r="A50" s="72">
        <x:v>46</x:v>
      </x:c>
      <x:c r="B50" s="73">
        <x:v>46211</x:v>
      </x:c>
      <x:c r="C50" s="81" t="s">
        <x:v>100</x:v>
      </x:c>
      <x:c r="D50" s="61" t="s">
        <x:v>504</x:v>
      </x:c>
      <x:c r="E50" s="61" t="s">
        <x:v>538</x:v>
      </x:c>
      <x:c r="F50" s="61" t="s">
        <x:v>649</x:v>
      </x:c>
      <x:c r="G50" s="74" t="s">
        <x:v>650</x:v>
      </x:c>
      <x:c r="H50" s="74" t="s">
        <x:v>541</x:v>
      </x:c>
      <x:c r="I50" s="74" t="s">
        <x:v>542</x:v>
      </x:c>
      <x:c r="J50" s="75" t="s">
        <x:v>651</x:v>
      </x:c>
    </x:row>
    <x:row r="51" ht="32.099998474121094" customHeight="1">
      <x:c r="A51" s="72">
        <x:v>47</x:v>
      </x:c>
      <x:c r="B51" s="73">
        <x:v>46210</x:v>
      </x:c>
      <x:c r="C51" s="81" t="s">
        <x:v>100</x:v>
      </x:c>
      <x:c r="D51" s="61" t="s">
        <x:v>504</x:v>
      </x:c>
      <x:c r="E51" s="61" t="s">
        <x:v>538</x:v>
      </x:c>
      <x:c r="F51" s="61" t="s">
        <x:v>652</x:v>
      </x:c>
      <x:c r="G51" s="74" t="s">
        <x:v>653</x:v>
      </x:c>
      <x:c r="H51" s="74" t="s">
        <x:v>541</x:v>
      </x:c>
      <x:c r="I51" s="74" t="s">
        <x:v>542</x:v>
      </x:c>
      <x:c r="J51" s="75" t="s">
        <x:v>654</x:v>
      </x:c>
    </x:row>
    <x:row r="52" ht="32.099998474121094" customHeight="1">
      <x:c r="A52" s="72">
        <x:v>48</x:v>
      </x:c>
      <x:c r="B52" s="73">
        <x:v>46206</x:v>
      </x:c>
      <x:c r="C52" s="81" t="s">
        <x:v>100</x:v>
      </x:c>
      <x:c r="D52" s="61" t="s">
        <x:v>504</x:v>
      </x:c>
      <x:c r="E52" s="61" t="s">
        <x:v>538</x:v>
      </x:c>
      <x:c r="F52" s="61" t="s">
        <x:v>655</x:v>
      </x:c>
      <x:c r="G52" s="74" t="s">
        <x:v>656</x:v>
      </x:c>
      <x:c r="H52" s="74" t="s">
        <x:v>541</x:v>
      </x:c>
      <x:c r="I52" s="74" t="s">
        <x:v>542</x:v>
      </x:c>
      <x:c r="J52" s="75" t="s">
        <x:v>657</x:v>
      </x:c>
    </x:row>
    <x:row r="53" ht="32.099998474121094" customHeight="1">
      <x:c r="A53" s="72">
        <x:v>49</x:v>
      </x:c>
      <x:c r="B53" s="73">
        <x:v>46206</x:v>
      </x:c>
      <x:c r="C53" s="81" t="s">
        <x:v>100</x:v>
      </x:c>
      <x:c r="D53" s="61" t="s">
        <x:v>504</x:v>
      </x:c>
      <x:c r="E53" s="61" t="s">
        <x:v>538</x:v>
      </x:c>
      <x:c r="F53" s="61" t="s">
        <x:v>658</x:v>
      </x:c>
      <x:c r="G53" s="74" t="s">
        <x:v>659</x:v>
      </x:c>
      <x:c r="H53" s="74" t="s">
        <x:v>541</x:v>
      </x:c>
      <x:c r="I53" s="74" t="s">
        <x:v>542</x:v>
      </x:c>
      <x:c r="J53" s="75" t="s">
        <x:v>660</x:v>
      </x:c>
    </x:row>
    <x:row r="54" ht="32.099998474121094" customHeight="1">
      <x:c r="A54" s="72">
        <x:v>50</x:v>
      </x:c>
      <x:c r="B54" s="73">
        <x:v>46206</x:v>
      </x:c>
      <x:c r="C54" s="81" t="s">
        <x:v>100</x:v>
      </x:c>
      <x:c r="D54" s="61" t="s">
        <x:v>504</x:v>
      </x:c>
      <x:c r="E54" s="61" t="s">
        <x:v>538</x:v>
      </x:c>
      <x:c r="F54" s="61" t="s">
        <x:v>661</x:v>
      </x:c>
      <x:c r="G54" s="74" t="s">
        <x:v>662</x:v>
      </x:c>
      <x:c r="H54" s="74" t="s">
        <x:v>541</x:v>
      </x:c>
      <x:c r="I54" s="74" t="s">
        <x:v>542</x:v>
      </x:c>
      <x:c r="J54" s="75" t="s">
        <x:v>663</x:v>
      </x:c>
    </x:row>
    <x:row r="55" ht="32.099998474121094" customHeight="1">
      <x:c r="A55" s="72">
        <x:v>51</x:v>
      </x:c>
      <x:c r="B55" s="73">
        <x:v>46206</x:v>
      </x:c>
      <x:c r="C55" s="81" t="s">
        <x:v>100</x:v>
      </x:c>
      <x:c r="D55" s="61" t="s">
        <x:v>504</x:v>
      </x:c>
      <x:c r="E55" s="61" t="s">
        <x:v>538</x:v>
      </x:c>
      <x:c r="F55" s="61" t="s">
        <x:v>664</x:v>
      </x:c>
      <x:c r="G55" s="74" t="s">
        <x:v>665</x:v>
      </x:c>
      <x:c r="H55" s="74" t="s">
        <x:v>541</x:v>
      </x:c>
      <x:c r="I55" s="74" t="s">
        <x:v>542</x:v>
      </x:c>
      <x:c r="J55" s="75" t="s">
        <x:v>666</x:v>
      </x:c>
    </x:row>
    <x:row r="56" ht="32.099998474121094" customHeight="1">
      <x:c r="A56" s="72">
        <x:v>52</x:v>
      </x:c>
      <x:c r="B56" s="73">
        <x:v>46206</x:v>
      </x:c>
      <x:c r="C56" s="81" t="s">
        <x:v>100</x:v>
      </x:c>
      <x:c r="D56" s="61" t="s">
        <x:v>504</x:v>
      </x:c>
      <x:c r="E56" s="61" t="s">
        <x:v>538</x:v>
      </x:c>
      <x:c r="F56" s="61" t="s">
        <x:v>667</x:v>
      </x:c>
      <x:c r="G56" s="74" t="s">
        <x:v>668</x:v>
      </x:c>
      <x:c r="H56" s="74" t="s">
        <x:v>541</x:v>
      </x:c>
      <x:c r="I56" s="74" t="s">
        <x:v>542</x:v>
      </x:c>
      <x:c r="J56" s="75" t="s">
        <x:v>669</x:v>
      </x:c>
    </x:row>
    <x:row r="57" ht="32.099998474121094" customHeight="1">
      <x:c r="A57" s="72">
        <x:v>53</x:v>
      </x:c>
      <x:c r="B57" s="73">
        <x:v>46206</x:v>
      </x:c>
      <x:c r="C57" s="81" t="s">
        <x:v>100</x:v>
      </x:c>
      <x:c r="D57" s="61" t="s">
        <x:v>504</x:v>
      </x:c>
      <x:c r="E57" s="61" t="s">
        <x:v>538</x:v>
      </x:c>
      <x:c r="F57" s="61" t="s">
        <x:v>670</x:v>
      </x:c>
      <x:c r="G57" s="74" t="s">
        <x:v>671</x:v>
      </x:c>
      <x:c r="H57" s="74" t="s">
        <x:v>541</x:v>
      </x:c>
      <x:c r="I57" s="74" t="s">
        <x:v>542</x:v>
      </x:c>
      <x:c r="J57" s="75" t="s">
        <x:v>672</x:v>
      </x:c>
    </x:row>
    <x:row r="58" ht="32.099998474121094" customHeight="1">
      <x:c r="A58" s="72">
        <x:v>54</x:v>
      </x:c>
      <x:c r="B58" s="73">
        <x:v>46206</x:v>
      </x:c>
      <x:c r="C58" s="81" t="s">
        <x:v>100</x:v>
      </x:c>
      <x:c r="D58" s="61" t="s">
        <x:v>504</x:v>
      </x:c>
      <x:c r="E58" s="61" t="s">
        <x:v>538</x:v>
      </x:c>
      <x:c r="F58" s="61" t="s">
        <x:v>673</x:v>
      </x:c>
      <x:c r="G58" s="74" t="s">
        <x:v>674</x:v>
      </x:c>
      <x:c r="H58" s="74" t="s">
        <x:v>541</x:v>
      </x:c>
      <x:c r="I58" s="74" t="s">
        <x:v>542</x:v>
      </x:c>
      <x:c r="J58" s="75" t="s">
        <x:v>675</x:v>
      </x:c>
    </x:row>
    <x:row r="59" ht="32.099998474121094" customHeight="1">
      <x:c r="A59" s="72">
        <x:v>55</x:v>
      </x:c>
      <x:c r="B59" s="73">
        <x:v>46273</x:v>
      </x:c>
      <x:c r="C59" s="80" t="s">
        <x:v>108</x:v>
      </x:c>
      <x:c r="D59" s="61" t="s">
        <x:v>676</x:v>
      </x:c>
      <x:c r="E59" s="61" t="s">
        <x:v>538</x:v>
      </x:c>
      <x:c r="F59" s="61" t="s">
        <x:v>677</x:v>
      </x:c>
      <x:c r="G59" s="74" t="s">
        <x:v>678</x:v>
      </x:c>
      <x:c r="H59" s="74" t="s">
        <x:v>541</x:v>
      </x:c>
      <x:c r="I59" s="74" t="s">
        <x:v>542</x:v>
      </x:c>
      <x:c r="J59" s="75" t="s">
        <x:v>679</x:v>
      </x:c>
    </x:row>
    <x:row r="60" ht="32.099998474121094" customHeight="1">
      <x:c r="A60" s="72">
        <x:v>56</x:v>
      </x:c>
      <x:c r="B60" s="73">
        <x:v>46273</x:v>
      </x:c>
      <x:c r="C60" s="80" t="s">
        <x:v>108</x:v>
      </x:c>
      <x:c r="D60" s="61" t="s">
        <x:v>676</x:v>
      </x:c>
      <x:c r="E60" s="61" t="s">
        <x:v>538</x:v>
      </x:c>
      <x:c r="F60" s="61" t="s">
        <x:v>680</x:v>
      </x:c>
      <x:c r="G60" s="74" t="s">
        <x:v>681</x:v>
      </x:c>
      <x:c r="H60" s="74" t="s">
        <x:v>541</x:v>
      </x:c>
      <x:c r="I60" s="74" t="s">
        <x:v>542</x:v>
      </x:c>
      <x:c r="J60" s="75" t="s">
        <x:v>682</x:v>
      </x:c>
    </x:row>
    <x:row r="61" ht="32.099998474121094" customHeight="1">
      <x:c r="A61" s="72">
        <x:v>57</x:v>
      </x:c>
      <x:c r="B61" s="73">
        <x:v>46271</x:v>
      </x:c>
      <x:c r="C61" s="80" t="s">
        <x:v>108</x:v>
      </x:c>
      <x:c r="D61" s="61" t="s">
        <x:v>676</x:v>
      </x:c>
      <x:c r="E61" s="61" t="s">
        <x:v>538</x:v>
      </x:c>
      <x:c r="F61" s="61" t="s">
        <x:v>683</x:v>
      </x:c>
      <x:c r="G61" s="74" t="s">
        <x:v>684</x:v>
      </x:c>
      <x:c r="H61" s="74" t="s">
        <x:v>541</x:v>
      </x:c>
      <x:c r="I61" s="74" t="s">
        <x:v>542</x:v>
      </x:c>
      <x:c r="J61" s="75" t="s">
        <x:v>685</x:v>
      </x:c>
    </x:row>
    <x:row r="62" ht="32.099998474121094" customHeight="1">
      <x:c r="A62" s="72">
        <x:v>58</x:v>
      </x:c>
      <x:c r="B62" s="73">
        <x:v>46268</x:v>
      </x:c>
      <x:c r="C62" s="80" t="s">
        <x:v>108</x:v>
      </x:c>
      <x:c r="D62" s="61" t="s">
        <x:v>676</x:v>
      </x:c>
      <x:c r="E62" s="61" t="s">
        <x:v>538</x:v>
      </x:c>
      <x:c r="F62" s="61" t="s">
        <x:v>686</x:v>
      </x:c>
      <x:c r="G62" s="74" t="s">
        <x:v>687</x:v>
      </x:c>
      <x:c r="H62" s="74" t="s">
        <x:v>541</x:v>
      </x:c>
      <x:c r="I62" s="74" t="s">
        <x:v>542</x:v>
      </x:c>
      <x:c r="J62" s="75" t="s">
        <x:v>688</x:v>
      </x:c>
    </x:row>
    <x:row r="63" ht="32.099998474121094" customHeight="1">
      <x:c r="A63" s="72">
        <x:v>59</x:v>
      </x:c>
      <x:c r="B63" s="73">
        <x:v>46265</x:v>
      </x:c>
      <x:c r="C63" s="80" t="s">
        <x:v>108</x:v>
      </x:c>
      <x:c r="D63" s="61" t="s">
        <x:v>676</x:v>
      </x:c>
      <x:c r="E63" s="61" t="s">
        <x:v>538</x:v>
      </x:c>
      <x:c r="F63" s="61" t="s">
        <x:v>689</x:v>
      </x:c>
      <x:c r="G63" s="74" t="s">
        <x:v>690</x:v>
      </x:c>
      <x:c r="H63" s="74" t="s">
        <x:v>541</x:v>
      </x:c>
      <x:c r="I63" s="74" t="s">
        <x:v>542</x:v>
      </x:c>
      <x:c r="J63" s="75" t="s">
        <x:v>691</x:v>
      </x:c>
    </x:row>
    <x:row r="64" ht="32.099998474121094" customHeight="1">
      <x:c r="A64" s="72">
        <x:v>60</x:v>
      </x:c>
      <x:c r="B64" s="73">
        <x:v>46265</x:v>
      </x:c>
      <x:c r="C64" s="80" t="s">
        <x:v>108</x:v>
      </x:c>
      <x:c r="D64" s="61" t="s">
        <x:v>676</x:v>
      </x:c>
      <x:c r="E64" s="61" t="s">
        <x:v>538</x:v>
      </x:c>
      <x:c r="F64" s="61" t="s">
        <x:v>692</x:v>
      </x:c>
      <x:c r="G64" s="74" t="s">
        <x:v>693</x:v>
      </x:c>
      <x:c r="H64" s="74" t="s">
        <x:v>541</x:v>
      </x:c>
      <x:c r="I64" s="74" t="s">
        <x:v>542</x:v>
      </x:c>
      <x:c r="J64" s="75" t="s">
        <x:v>694</x:v>
      </x:c>
    </x:row>
    <x:row r="65" ht="32.099998474121094" customHeight="1">
      <x:c r="A65" s="72">
        <x:v>61</x:v>
      </x:c>
      <x:c r="B65" s="73">
        <x:v>46273</x:v>
      </x:c>
      <x:c r="C65" s="83" t="s">
        <x:v>104</x:v>
      </x:c>
      <x:c r="D65" s="61" t="s">
        <x:v>695</x:v>
      </x:c>
      <x:c r="E65" s="61" t="s">
        <x:v>538</x:v>
      </x:c>
      <x:c r="F65" s="61" t="s">
        <x:v>696</x:v>
      </x:c>
      <x:c r="G65" s="74" t="s">
        <x:v>697</x:v>
      </x:c>
      <x:c r="H65" s="74" t="s">
        <x:v>541</x:v>
      </x:c>
      <x:c r="I65" s="74" t="s">
        <x:v>542</x:v>
      </x:c>
      <x:c r="J65" s="75" t="s">
        <x:v>698</x:v>
      </x:c>
    </x:row>
    <x:row r="66" ht="32.099998474121094" customHeight="1">
      <x:c r="A66" s="72">
        <x:v>62</x:v>
      </x:c>
      <x:c r="B66" s="73">
        <x:v>46273</x:v>
      </x:c>
      <x:c r="C66" s="83" t="s">
        <x:v>104</x:v>
      </x:c>
      <x:c r="D66" s="61" t="s">
        <x:v>695</x:v>
      </x:c>
      <x:c r="E66" s="61" t="s">
        <x:v>538</x:v>
      </x:c>
      <x:c r="F66" s="61" t="s">
        <x:v>699</x:v>
      </x:c>
      <x:c r="G66" s="74" t="s">
        <x:v>700</x:v>
      </x:c>
      <x:c r="H66" s="74" t="s">
        <x:v>541</x:v>
      </x:c>
      <x:c r="I66" s="74" t="s">
        <x:v>542</x:v>
      </x:c>
      <x:c r="J66" s="75" t="s">
        <x:v>701</x:v>
      </x:c>
    </x:row>
    <x:row r="67" ht="32.099998474121094" customHeight="1">
      <x:c r="A67" s="72">
        <x:v>63</x:v>
      </x:c>
      <x:c r="B67" s="73">
        <x:v>46272</x:v>
      </x:c>
      <x:c r="C67" s="83" t="s">
        <x:v>104</x:v>
      </x:c>
      <x:c r="D67" s="61" t="s">
        <x:v>695</x:v>
      </x:c>
      <x:c r="E67" s="61" t="s">
        <x:v>538</x:v>
      </x:c>
      <x:c r="F67" s="61" t="s">
        <x:v>702</x:v>
      </x:c>
      <x:c r="G67" s="74" t="s">
        <x:v>703</x:v>
      </x:c>
      <x:c r="H67" s="74" t="s">
        <x:v>541</x:v>
      </x:c>
      <x:c r="I67" s="74" t="s">
        <x:v>542</x:v>
      </x:c>
      <x:c r="J67" s="75" t="s">
        <x:v>704</x:v>
      </x:c>
    </x:row>
    <x:row r="68" ht="32.099998474121094" customHeight="1">
      <x:c r="A68" s="72">
        <x:v>64</x:v>
      </x:c>
      <x:c r="B68" s="73">
        <x:v>46272</x:v>
      </x:c>
      <x:c r="C68" s="83" t="s">
        <x:v>104</x:v>
      </x:c>
      <x:c r="D68" s="61" t="s">
        <x:v>695</x:v>
      </x:c>
      <x:c r="E68" s="61" t="s">
        <x:v>538</x:v>
      </x:c>
      <x:c r="F68" s="61" t="s">
        <x:v>705</x:v>
      </x:c>
      <x:c r="G68" s="74" t="s">
        <x:v>706</x:v>
      </x:c>
      <x:c r="H68" s="74" t="s">
        <x:v>541</x:v>
      </x:c>
      <x:c r="I68" s="74" t="s">
        <x:v>542</x:v>
      </x:c>
      <x:c r="J68" s="75" t="s">
        <x:v>707</x:v>
      </x:c>
    </x:row>
    <x:row r="69" ht="32.099998474121094" customHeight="1">
      <x:c r="A69" s="72">
        <x:v>65</x:v>
      </x:c>
      <x:c r="B69" s="73">
        <x:v>46272</x:v>
      </x:c>
      <x:c r="C69" s="83" t="s">
        <x:v>104</x:v>
      </x:c>
      <x:c r="D69" s="61" t="s">
        <x:v>695</x:v>
      </x:c>
      <x:c r="E69" s="61" t="s">
        <x:v>538</x:v>
      </x:c>
      <x:c r="F69" s="61" t="s">
        <x:v>708</x:v>
      </x:c>
      <x:c r="G69" s="74" t="s">
        <x:v>709</x:v>
      </x:c>
      <x:c r="H69" s="74" t="s">
        <x:v>541</x:v>
      </x:c>
      <x:c r="I69" s="74" t="s">
        <x:v>542</x:v>
      </x:c>
      <x:c r="J69" s="75" t="s">
        <x:v>710</x:v>
      </x:c>
    </x:row>
    <x:row r="70" ht="32.099998474121094" customHeight="1">
      <x:c r="A70" s="76">
        <x:v>66</x:v>
      </x:c>
      <x:c r="B70" s="77">
        <x:v>46260</x:v>
      </x:c>
      <x:c r="C70" s="82" t="s">
        <x:v>104</x:v>
      </x:c>
      <x:c r="D70" s="67" t="s">
        <x:v>695</x:v>
      </x:c>
      <x:c r="E70" s="67" t="s">
        <x:v>538</x:v>
      </x:c>
      <x:c r="F70" s="67" t="s">
        <x:v>711</x:v>
      </x:c>
      <x:c r="G70" s="78" t="s">
        <x:v>712</x:v>
      </x:c>
      <x:c r="H70" s="78" t="s">
        <x:v>541</x:v>
      </x:c>
      <x:c r="I70" s="78" t="s">
        <x:v>542</x:v>
      </x:c>
      <x:c r="J70" s="79" t="s">
        <x:v>713</x:v>
      </x:c>
    </x:row>
    <x:row r="72" ht="38.099998474121094" customHeight="1">
      <x:c r="A72" s="135" t="s">
        <x:v>714</x:v>
      </x:c>
      <x:c r="B72" s="135"/>
      <x:c r="C72" s="135"/>
      <x:c r="D72" s="135"/>
      <x:c r="E72" s="135"/>
      <x:c r="F72" s="135"/>
      <x:c r="G72" s="135"/>
      <x:c r="H72" s="135"/>
      <x:c r="I72" s="135"/>
      <x:c r="J72" s="135"/>
    </x:row>
  </x:sheetData>
  <x:mergeCells>
    <x:mergeCell ref="A1:J1"/>
    <x:mergeCell ref="A2:J2"/>
    <x:mergeCell ref="A72:J7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05078125" customWidth="1"/>
    <x:col min="2" max="2" width="23.9453125" customWidth="1"/>
    <x:col min="3" max="3" width="32.015625" customWidth="1"/>
    <x:col min="4" max="4" width="52.05859375" customWidth="1"/>
    <x:col min="5" max="5" width="16.0078125" customWidth="1"/>
    <x:col min="6" max="6" width="43.98828125" customWidth="1"/>
    <x:col min="7" max="7" width="13.98828125" customWidth="1"/>
    <x:col min="8" max="8" width="36.05078125" customWidth="1"/>
  </x:cols>
  <x:sheetData>
    <x:row r="1" ht="30" customHeight="1">
      <x:c r="A1" s="106" t="s">
        <x:v>715</x:v>
      </x:c>
      <x:c r="B1" s="106"/>
      <x:c r="C1" s="106"/>
      <x:c r="D1" s="106"/>
      <x:c r="E1" s="106"/>
      <x:c r="F1" s="106"/>
      <x:c r="G1" s="106"/>
      <x:c r="H1" s="106"/>
    </x:row>
    <x:row r="2" ht="32.099998474121094" customHeight="1">
      <x:c r="A2" s="134" t="s">
        <x:v>716</x:v>
      </x:c>
      <x:c r="B2" s="134"/>
      <x:c r="C2" s="134"/>
      <x:c r="D2" s="134"/>
      <x:c r="E2" s="134"/>
      <x:c r="F2" s="134"/>
      <x:c r="G2" s="134"/>
      <x:c r="H2" s="134"/>
    </x:row>
    <x:row r="4" ht="33.95000076293945" customHeight="1">
      <x:c r="A4" s="28" t="s">
        <x:v>16</x:v>
      </x:c>
      <x:c r="B4" s="29" t="s">
        <x:v>717</x:v>
      </x:c>
      <x:c r="C4" s="29" t="s">
        <x:v>718</x:v>
      </x:c>
      <x:c r="D4" s="29" t="s">
        <x:v>719</x:v>
      </x:c>
      <x:c r="E4" s="29" t="s">
        <x:v>194</x:v>
      </x:c>
      <x:c r="F4" s="29" t="s">
        <x:v>720</x:v>
      </x:c>
      <x:c r="G4" s="29" t="s">
        <x:v>721</x:v>
      </x:c>
      <x:c r="H4" s="30" t="s">
        <x:v>722</x:v>
      </x:c>
    </x:row>
    <x:row r="5" ht="38.099998474121094" customHeight="1">
      <x:c r="A5" s="72">
        <x:v>1</x:v>
      </x:c>
      <x:c r="B5" s="74" t="s">
        <x:v>723</x:v>
      </x:c>
      <x:c r="C5" s="61" t="s">
        <x:v>724</x:v>
      </x:c>
      <x:c r="D5" s="61" t="s">
        <x:v>725</x:v>
      </x:c>
      <x:c r="E5" s="81" t="s">
        <x:v>726</x:v>
      </x:c>
      <x:c r="F5" s="74" t="s">
        <x:v>727</x:v>
      </x:c>
      <x:c r="G5" s="74" t="s">
        <x:v>90</x:v>
      </x:c>
      <x:c r="H5" s="75" t="s">
        <x:v>728</x:v>
      </x:c>
    </x:row>
    <x:row r="6" ht="38.099998474121094" customHeight="1">
      <x:c r="A6" s="72">
        <x:v>2</x:v>
      </x:c>
      <x:c r="B6" s="74" t="s">
        <x:v>729</x:v>
      </x:c>
      <x:c r="C6" s="61" t="s">
        <x:v>730</x:v>
      </x:c>
      <x:c r="D6" s="61" t="s">
        <x:v>731</x:v>
      </x:c>
      <x:c r="E6" s="81" t="s">
        <x:v>726</x:v>
      </x:c>
      <x:c r="F6" s="74" t="s">
        <x:v>732</x:v>
      </x:c>
      <x:c r="G6" s="74" t="s">
        <x:v>90</x:v>
      </x:c>
      <x:c r="H6" s="75" t="s">
        <x:v>728</x:v>
      </x:c>
    </x:row>
    <x:row r="7" ht="38.099998474121094" customHeight="1">
      <x:c r="A7" s="72">
        <x:v>3</x:v>
      </x:c>
      <x:c r="B7" s="74" t="s">
        <x:v>733</x:v>
      </x:c>
      <x:c r="C7" s="61" t="s">
        <x:v>734</x:v>
      </x:c>
      <x:c r="D7" s="61" t="s">
        <x:v>735</x:v>
      </x:c>
      <x:c r="E7" s="81" t="s">
        <x:v>726</x:v>
      </x:c>
      <x:c r="F7" s="74" t="s">
        <x:v>736</x:v>
      </x:c>
      <x:c r="G7" s="74" t="s">
        <x:v>737</x:v>
      </x:c>
      <x:c r="H7" s="75" t="s">
        <x:v>728</x:v>
      </x:c>
    </x:row>
    <x:row r="8" ht="38.099998474121094" customHeight="1">
      <x:c r="A8" s="72">
        <x:v>4</x:v>
      </x:c>
      <x:c r="B8" s="74" t="s">
        <x:v>738</x:v>
      </x:c>
      <x:c r="C8" s="61" t="s">
        <x:v>739</x:v>
      </x:c>
      <x:c r="D8" s="61" t="s">
        <x:v>740</x:v>
      </x:c>
      <x:c r="E8" s="84" t="s">
        <x:v>741</x:v>
      </x:c>
      <x:c r="F8" s="74" t="s">
        <x:v>742</x:v>
      </x:c>
      <x:c r="G8" s="74" t="s">
        <x:v>743</x:v>
      </x:c>
      <x:c r="H8" s="75" t="s">
        <x:v>728</x:v>
      </x:c>
    </x:row>
    <x:row r="9" ht="38.099998474121094" customHeight="1">
      <x:c r="A9" s="72">
        <x:v>5</x:v>
      </x:c>
      <x:c r="B9" s="74" t="s">
        <x:v>744</x:v>
      </x:c>
      <x:c r="C9" s="61" t="s">
        <x:v>739</x:v>
      </x:c>
      <x:c r="D9" s="61" t="s">
        <x:v>726</x:v>
      </x:c>
      <x:c r="E9" s="81" t="s">
        <x:v>726</x:v>
      </x:c>
      <x:c r="F9" s="74" t="s">
        <x:v>745</x:v>
      </x:c>
      <x:c r="G9" s="74" t="s">
        <x:v>90</x:v>
      </x:c>
      <x:c r="H9" s="75" t="s">
        <x:v>728</x:v>
      </x:c>
    </x:row>
    <x:row r="10" ht="38.099998474121094" customHeight="1">
      <x:c r="A10" s="72">
        <x:v>6</x:v>
      </x:c>
      <x:c r="B10" s="74" t="s">
        <x:v>746</x:v>
      </x:c>
      <x:c r="C10" s="61" t="s">
        <x:v>747</x:v>
      </x:c>
      <x:c r="D10" s="61" t="s">
        <x:v>748</x:v>
      </x:c>
      <x:c r="E10" s="81" t="s">
        <x:v>726</x:v>
      </x:c>
      <x:c r="F10" s="74" t="s">
        <x:v>749</x:v>
      </x:c>
      <x:c r="G10" s="74" t="s">
        <x:v>750</x:v>
      </x:c>
      <x:c r="H10" s="75" t="s">
        <x:v>728</x:v>
      </x:c>
    </x:row>
    <x:row r="11" ht="38.099998474121094" customHeight="1">
      <x:c r="A11" s="72">
        <x:v>7</x:v>
      </x:c>
      <x:c r="B11" s="74" t="s">
        <x:v>751</x:v>
      </x:c>
      <x:c r="C11" s="61" t="s">
        <x:v>752</x:v>
      </x:c>
      <x:c r="D11" s="61" t="s">
        <x:v>753</x:v>
      </x:c>
      <x:c r="E11" s="81" t="s">
        <x:v>726</x:v>
      </x:c>
      <x:c r="F11" s="74" t="s">
        <x:v>754</x:v>
      </x:c>
      <x:c r="G11" s="74" t="s">
        <x:v>90</x:v>
      </x:c>
      <x:c r="H11" s="75" t="s">
        <x:v>728</x:v>
      </x:c>
    </x:row>
    <x:row r="12" ht="38.099998474121094" customHeight="1">
      <x:c r="A12" s="72">
        <x:v>8</x:v>
      </x:c>
      <x:c r="B12" s="74" t="s">
        <x:v>755</x:v>
      </x:c>
      <x:c r="C12" s="61" t="s">
        <x:v>756</x:v>
      </x:c>
      <x:c r="D12" s="61" t="s">
        <x:v>757</x:v>
      </x:c>
      <x:c r="E12" s="81" t="s">
        <x:v>726</x:v>
      </x:c>
      <x:c r="F12" s="74" t="s">
        <x:v>758</x:v>
      </x:c>
      <x:c r="G12" s="74" t="s">
        <x:v>759</x:v>
      </x:c>
      <x:c r="H12" s="75" t="s">
        <x:v>728</x:v>
      </x:c>
    </x:row>
    <x:row r="13" ht="38.099998474121094" customHeight="1">
      <x:c r="A13" s="72">
        <x:v>9</x:v>
      </x:c>
      <x:c r="B13" s="74" t="s">
        <x:v>760</x:v>
      </x:c>
      <x:c r="C13" s="61" t="s">
        <x:v>761</x:v>
      </x:c>
      <x:c r="D13" s="61" t="s">
        <x:v>762</x:v>
      </x:c>
      <x:c r="E13" s="81" t="s">
        <x:v>726</x:v>
      </x:c>
      <x:c r="F13" s="74" t="s">
        <x:v>763</x:v>
      </x:c>
      <x:c r="G13" s="74" t="s">
        <x:v>90</x:v>
      </x:c>
      <x:c r="H13" s="75" t="s">
        <x:v>728</x:v>
      </x:c>
    </x:row>
    <x:row r="14" ht="38.099998474121094" customHeight="1">
      <x:c r="A14" s="72">
        <x:v>10</x:v>
      </x:c>
      <x:c r="B14" s="74" t="s">
        <x:v>764</x:v>
      </x:c>
      <x:c r="C14" s="61" t="s">
        <x:v>765</x:v>
      </x:c>
      <x:c r="D14" s="61" t="s">
        <x:v>766</x:v>
      </x:c>
      <x:c r="E14" s="81" t="s">
        <x:v>726</x:v>
      </x:c>
      <x:c r="F14" s="74" t="s">
        <x:v>767</x:v>
      </x:c>
      <x:c r="G14" s="74" t="s">
        <x:v>90</x:v>
      </x:c>
      <x:c r="H14" s="75" t="s">
        <x:v>728</x:v>
      </x:c>
    </x:row>
    <x:row r="15" ht="38.099998474121094" customHeight="1">
      <x:c r="A15" s="72">
        <x:v>11</x:v>
      </x:c>
      <x:c r="B15" s="74" t="s">
        <x:v>768</x:v>
      </x:c>
      <x:c r="C15" s="61" t="s">
        <x:v>769</x:v>
      </x:c>
      <x:c r="D15" s="61" t="s">
        <x:v>770</x:v>
      </x:c>
      <x:c r="E15" s="81" t="s">
        <x:v>726</x:v>
      </x:c>
      <x:c r="F15" s="74" t="s">
        <x:v>771</x:v>
      </x:c>
      <x:c r="G15" s="74" t="s">
        <x:v>90</x:v>
      </x:c>
      <x:c r="H15" s="75" t="s">
        <x:v>728</x:v>
      </x:c>
    </x:row>
    <x:row r="16" ht="38.099998474121094" customHeight="1">
      <x:c r="A16" s="72">
        <x:v>12</x:v>
      </x:c>
      <x:c r="B16" s="74" t="s">
        <x:v>772</x:v>
      </x:c>
      <x:c r="C16" s="61" t="s">
        <x:v>773</x:v>
      </x:c>
      <x:c r="D16" s="61" t="s">
        <x:v>774</x:v>
      </x:c>
      <x:c r="E16" s="85" t="s">
        <x:v>775</x:v>
      </x:c>
      <x:c r="F16" s="74" t="s">
        <x:v>776</x:v>
      </x:c>
      <x:c r="G16" s="74" t="s">
        <x:v>777</x:v>
      </x:c>
      <x:c r="H16" s="75" t="s">
        <x:v>314</x:v>
      </x:c>
    </x:row>
    <x:row r="17" ht="38.099998474121094" customHeight="1">
      <x:c r="A17" s="72">
        <x:v>13</x:v>
      </x:c>
      <x:c r="B17" s="74" t="s">
        <x:v>778</x:v>
      </x:c>
      <x:c r="C17" s="61" t="s">
        <x:v>779</x:v>
      </x:c>
      <x:c r="D17" s="61" t="s">
        <x:v>780</x:v>
      </x:c>
      <x:c r="E17" s="85" t="s">
        <x:v>775</x:v>
      </x:c>
      <x:c r="F17" s="74" t="s">
        <x:v>781</x:v>
      </x:c>
      <x:c r="G17" s="74" t="s">
        <x:v>782</x:v>
      </x:c>
      <x:c r="H17" s="75" t="s">
        <x:v>314</x:v>
      </x:c>
    </x:row>
    <x:row r="18" ht="38.099998474121094" customHeight="1">
      <x:c r="A18" s="72">
        <x:v>14</x:v>
      </x:c>
      <x:c r="B18" s="74" t="s">
        <x:v>783</x:v>
      </x:c>
      <x:c r="C18" s="61" t="s">
        <x:v>784</x:v>
      </x:c>
      <x:c r="D18" s="61" t="s">
        <x:v>785</x:v>
      </x:c>
      <x:c r="E18" s="85" t="s">
        <x:v>775</x:v>
      </x:c>
      <x:c r="F18" s="74" t="s">
        <x:v>786</x:v>
      </x:c>
      <x:c r="G18" s="74" t="s">
        <x:v>787</x:v>
      </x:c>
      <x:c r="H18" s="75" t="s">
        <x:v>314</x:v>
      </x:c>
    </x:row>
    <x:row r="19" ht="38.099998474121094" customHeight="1">
      <x:c r="A19" s="72">
        <x:v>15</x:v>
      </x:c>
      <x:c r="B19" s="74" t="s">
        <x:v>788</x:v>
      </x:c>
      <x:c r="C19" s="61" t="s">
        <x:v>789</x:v>
      </x:c>
      <x:c r="D19" s="61" t="s">
        <x:v>790</x:v>
      </x:c>
      <x:c r="E19" s="83" t="s">
        <x:v>791</x:v>
      </x:c>
      <x:c r="F19" s="74" t="s">
        <x:v>792</x:v>
      </x:c>
      <x:c r="G19" s="74" t="s">
        <x:v>793</x:v>
      </x:c>
      <x:c r="H19" s="75" t="s">
        <x:v>314</x:v>
      </x:c>
    </x:row>
    <x:row r="20" ht="38.099998474121094" customHeight="1">
      <x:c r="A20" s="72">
        <x:v>16</x:v>
      </x:c>
      <x:c r="B20" s="74" t="s">
        <x:v>794</x:v>
      </x:c>
      <x:c r="C20" s="61" t="s">
        <x:v>795</x:v>
      </x:c>
      <x:c r="D20" s="61" t="s">
        <x:v>796</x:v>
      </x:c>
      <x:c r="E20" s="83" t="s">
        <x:v>791</x:v>
      </x:c>
      <x:c r="F20" s="74" t="s">
        <x:v>797</x:v>
      </x:c>
      <x:c r="G20" s="74" t="s">
        <x:v>743</x:v>
      </x:c>
      <x:c r="H20" s="75" t="s">
        <x:v>314</x:v>
      </x:c>
    </x:row>
    <x:row r="21" ht="38.099998474121094" customHeight="1">
      <x:c r="A21" s="76">
        <x:v>17</x:v>
      </x:c>
      <x:c r="B21" s="78" t="s">
        <x:v>798</x:v>
      </x:c>
      <x:c r="C21" s="67" t="s">
        <x:v>799</x:v>
      </x:c>
      <x:c r="D21" s="67" t="s">
        <x:v>800</x:v>
      </x:c>
      <x:c r="E21" s="82" t="s">
        <x:v>801</x:v>
      </x:c>
      <x:c r="F21" s="78" t="s">
        <x:v>802</x:v>
      </x:c>
      <x:c r="G21" s="78" t="s">
        <x:v>90</x:v>
      </x:c>
      <x:c r="H21" s="79" t="s">
        <x:v>803</x:v>
      </x:c>
    </x:row>
    <x:row r="25">
      <x:c r="A25" s="136" t="s">
        <x:v>804</x:v>
      </x:c>
      <x:c r="B25" s="136"/>
      <x:c r="C25" s="136"/>
      <x:c r="D25" s="136"/>
      <x:c r="E25" s="136"/>
      <x:c r="F25" s="136"/>
      <x:c r="G25" s="136"/>
      <x:c r="H25" s="136"/>
    </x:row>
    <x:row r="26" ht="19.5">
      <x:c r="A26" s="86" t="s">
        <x:v>16</x:v>
      </x:c>
      <x:c r="B26" s="87" t="s">
        <x:v>805</x:v>
      </x:c>
      <x:c r="C26" s="87" t="s">
        <x:v>806</x:v>
      </x:c>
      <x:c r="D26" s="87" t="s">
        <x:v>807</x:v>
      </x:c>
      <x:c r="E26" s="87" t="s">
        <x:v>721</x:v>
      </x:c>
      <x:c r="F26" s="88" t="s">
        <x:v>808</x:v>
      </x:c>
    </x:row>
    <x:row r="27" ht="38.099998474121094" customHeight="1">
      <x:c r="A27" s="72">
        <x:v>1</x:v>
      </x:c>
      <x:c r="B27" s="74" t="s">
        <x:v>809</x:v>
      </x:c>
      <x:c r="C27" s="74" t="s">
        <x:v>810</x:v>
      </x:c>
      <x:c r="D27" s="74" t="s">
        <x:v>811</x:v>
      </x:c>
      <x:c r="E27" s="74" t="s">
        <x:v>812</x:v>
      </x:c>
      <x:c r="F27" s="89" t="s">
        <x:v>297</x:v>
      </x:c>
    </x:row>
    <x:row r="28" ht="38.099998474121094" customHeight="1">
      <x:c r="A28" s="72">
        <x:v>2</x:v>
      </x:c>
      <x:c r="B28" s="74" t="s">
        <x:v>813</x:v>
      </x:c>
      <x:c r="C28" s="74" t="s">
        <x:v>814</x:v>
      </x:c>
      <x:c r="D28" s="74" t="s">
        <x:v>815</x:v>
      </x:c>
      <x:c r="E28" s="74" t="s">
        <x:v>777</x:v>
      </x:c>
      <x:c r="F28" s="89" t="s">
        <x:v>297</x:v>
      </x:c>
    </x:row>
    <x:row r="29" ht="38.099998474121094" customHeight="1">
      <x:c r="A29" s="72">
        <x:v>3</x:v>
      </x:c>
      <x:c r="B29" s="74" t="s">
        <x:v>816</x:v>
      </x:c>
      <x:c r="C29" s="74" t="s">
        <x:v>817</x:v>
      </x:c>
      <x:c r="D29" s="74" t="s">
        <x:v>818</x:v>
      </x:c>
      <x:c r="E29" s="74" t="s">
        <x:v>782</x:v>
      </x:c>
      <x:c r="F29" s="89" t="s">
        <x:v>297</x:v>
      </x:c>
    </x:row>
    <x:row r="30" ht="38.099998474121094" customHeight="1">
      <x:c r="A30" s="72">
        <x:v>4</x:v>
      </x:c>
      <x:c r="B30" s="74" t="s">
        <x:v>819</x:v>
      </x:c>
      <x:c r="C30" s="74" t="s">
        <x:v>820</x:v>
      </x:c>
      <x:c r="D30" s="74" t="s">
        <x:v>821</x:v>
      </x:c>
      <x:c r="E30" s="74" t="s">
        <x:v>787</x:v>
      </x:c>
      <x:c r="F30" s="89" t="s">
        <x:v>297</x:v>
      </x:c>
    </x:row>
    <x:row r="31" ht="38.099998474121094" customHeight="1">
      <x:c r="A31" s="76">
        <x:v>5</x:v>
      </x:c>
      <x:c r="B31" s="78" t="s">
        <x:v>822</x:v>
      </x:c>
      <x:c r="C31" s="78" t="s">
        <x:v>823</x:v>
      </x:c>
      <x:c r="D31" s="78" t="s">
        <x:v>824</x:v>
      </x:c>
      <x:c r="E31" s="78" t="s">
        <x:v>743</x:v>
      </x:c>
      <x:c r="F31" s="90" t="s">
        <x:v>297</x:v>
      </x:c>
    </x:row>
  </x:sheetData>
  <x:mergeCells>
    <x:mergeCell ref="A1:H1"/>
    <x:mergeCell ref="A2:H2"/>
    <x:mergeCell ref="A25:H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05078125" customWidth="1"/>
    <x:col min="2" max="2" width="20.04296875" customWidth="1"/>
    <x:col min="3" max="3" width="18.96484375" customWidth="1"/>
    <x:col min="4" max="4" width="30.9375" customWidth="1"/>
    <x:col min="5" max="5" width="29.99609375" customWidth="1"/>
    <x:col min="6" max="6" width="39.953125" customWidth="1"/>
    <x:col min="7" max="7" width="30.9375" customWidth="1"/>
    <x:col min="8" max="8" width="9.953125" customWidth="1"/>
    <x:col min="9" max="9" width="13.046875" customWidth="1"/>
    <x:col min="10" max="10" width="18.0234375" customWidth="1"/>
  </x:cols>
  <x:sheetData>
    <x:row r="1" ht="33.95000076293945" customHeight="1">
      <x:c r="A1" s="138" t="s">
        <x:v>825</x:v>
      </x:c>
      <x:c r="B1" s="138"/>
      <x:c r="C1" s="138"/>
      <x:c r="D1" s="138"/>
      <x:c r="E1" s="138"/>
      <x:c r="F1" s="138"/>
      <x:c r="G1" s="138"/>
      <x:c r="H1" s="138"/>
      <x:c r="I1" s="138"/>
      <x:c r="J1" s="138"/>
    </x:row>
    <x:row r="2" ht="26.100000381469727" customHeight="1">
      <x:c r="A2" s="139" t="s">
        <x:v>826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3" ht="27.950000762939453" customHeight="1">
      <x:c r="A3" s="140" t="s">
        <x:v>827</x:v>
      </x:c>
      <x:c r="B3" s="140"/>
      <x:c r="C3" s="140"/>
      <x:c r="D3" s="140"/>
      <x:c r="E3" s="140"/>
      <x:c r="F3" s="140"/>
      <x:c r="G3" s="140"/>
      <x:c r="H3" s="140"/>
      <x:c r="I3" s="140"/>
      <x:c r="J3" s="140"/>
    </x:row>
    <x:row r="5" ht="33.95000076293945" customHeight="1">
      <x:c r="A5" s="92" t="s">
        <x:v>16</x:v>
      </x:c>
      <x:c r="B5" s="92" t="s">
        <x:v>499</x:v>
      </x:c>
      <x:c r="C5" s="92" t="s">
        <x:v>98</x:v>
      </x:c>
      <x:c r="D5" s="92" t="s">
        <x:v>828</x:v>
      </x:c>
      <x:c r="E5" s="92" t="s">
        <x:v>829</x:v>
      </x:c>
      <x:c r="F5" s="92" t="s">
        <x:v>830</x:v>
      </x:c>
      <x:c r="G5" s="92" t="s">
        <x:v>85</x:v>
      </x:c>
      <x:c r="H5" s="92" t="s">
        <x:v>831</x:v>
      </x:c>
      <x:c r="I5" s="92" t="s">
        <x:v>832</x:v>
      </x:c>
      <x:c r="J5" s="92" t="s">
        <x:v>89</x:v>
      </x:c>
    </x:row>
    <x:row r="6" ht="81.94999694824219" customHeight="1">
      <x:c r="A6" s="96">
        <x:v>1</x:v>
      </x:c>
      <x:c r="B6" s="93" t="s">
        <x:v>833</x:v>
      </x:c>
      <x:c r="C6" s="93" t="s">
        <x:v>106</x:v>
      </x:c>
      <x:c r="D6" s="93" t="s">
        <x:v>366</x:v>
      </x:c>
      <x:c r="E6" s="93" t="s">
        <x:v>834</x:v>
      </x:c>
      <x:c r="F6" s="93" t="s">
        <x:v>835</x:v>
      </x:c>
      <x:c r="G6" s="93" t="s">
        <x:v>836</x:v>
      </x:c>
      <x:c r="H6" s="99" t="s">
        <x:v>299</x:v>
      </x:c>
      <x:c r="I6" s="99" t="s">
        <x:v>204</x:v>
      </x:c>
      <x:c r="J6" s="100">
        <x:v>46278</x:v>
      </x:c>
    </x:row>
    <x:row r="7" ht="81.94999694824219" customHeight="1">
      <x:c r="A7" s="97">
        <x:v>2</x:v>
      </x:c>
      <x:c r="B7" s="94" t="s">
        <x:v>837</x:v>
      </x:c>
      <x:c r="C7" s="94" t="s">
        <x:v>106</x:v>
      </x:c>
      <x:c r="D7" s="94" t="s">
        <x:v>838</x:v>
      </x:c>
      <x:c r="E7" s="94" t="s">
        <x:v>839</x:v>
      </x:c>
      <x:c r="F7" s="94" t="s">
        <x:v>840</x:v>
      </x:c>
      <x:c r="G7" s="94" t="s">
        <x:v>841</x:v>
      </x:c>
      <x:c r="H7" s="101" t="s">
        <x:v>299</x:v>
      </x:c>
      <x:c r="I7" s="101" t="s">
        <x:v>204</x:v>
      </x:c>
      <x:c r="J7" s="102">
        <x:v>46278</x:v>
      </x:c>
    </x:row>
    <x:row r="8" ht="81.94999694824219" customHeight="1">
      <x:c r="A8" s="97">
        <x:v>3</x:v>
      </x:c>
      <x:c r="B8" s="94" t="s">
        <x:v>842</x:v>
      </x:c>
      <x:c r="C8" s="94" t="s">
        <x:v>110</x:v>
      </x:c>
      <x:c r="D8" s="94" t="s">
        <x:v>843</x:v>
      </x:c>
      <x:c r="E8" s="94" t="s">
        <x:v>844</x:v>
      </x:c>
      <x:c r="F8" s="94" t="s">
        <x:v>845</x:v>
      </x:c>
      <x:c r="G8" s="94" t="s">
        <x:v>846</x:v>
      </x:c>
      <x:c r="H8" s="101" t="s">
        <x:v>299</x:v>
      </x:c>
      <x:c r="I8" s="101" t="s">
        <x:v>378</x:v>
      </x:c>
      <x:c r="J8" s="102">
        <x:v>46278</x:v>
      </x:c>
    </x:row>
    <x:row r="9" ht="81.94999694824219" customHeight="1">
      <x:c r="A9" s="97">
        <x:v>4</x:v>
      </x:c>
      <x:c r="B9" s="94" t="s">
        <x:v>847</x:v>
      </x:c>
      <x:c r="C9" s="94" t="s">
        <x:v>114</x:v>
      </x:c>
      <x:c r="D9" s="94" t="s">
        <x:v>382</x:v>
      </x:c>
      <x:c r="E9" s="94" t="s">
        <x:v>848</x:v>
      </x:c>
      <x:c r="F9" s="94" t="s">
        <x:v>849</x:v>
      </x:c>
      <x:c r="G9" s="94" t="s">
        <x:v>850</x:v>
      </x:c>
      <x:c r="H9" s="101" t="s">
        <x:v>299</x:v>
      </x:c>
      <x:c r="I9" s="101" t="s">
        <x:v>378</x:v>
      </x:c>
      <x:c r="J9" s="102">
        <x:v>46278</x:v>
      </x:c>
    </x:row>
    <x:row r="10" ht="81.94999694824219" customHeight="1">
      <x:c r="A10" s="98">
        <x:v>5</x:v>
      </x:c>
      <x:c r="B10" s="95" t="s">
        <x:v>851</x:v>
      </x:c>
      <x:c r="C10" s="95" t="s">
        <x:v>114</x:v>
      </x:c>
      <x:c r="D10" s="95" t="s">
        <x:v>386</x:v>
      </x:c>
      <x:c r="E10" s="95" t="s">
        <x:v>852</x:v>
      </x:c>
      <x:c r="F10" s="95" t="s">
        <x:v>853</x:v>
      </x:c>
      <x:c r="G10" s="95" t="s">
        <x:v>854</x:v>
      </x:c>
      <x:c r="H10" s="103" t="s">
        <x:v>299</x:v>
      </x:c>
      <x:c r="I10" s="103" t="s">
        <x:v>204</x:v>
      </x:c>
      <x:c r="J10" s="104">
        <x:v>46278</x:v>
      </x:c>
    </x:row>
    <x:row r="12" ht="27.950000762939453" customHeight="1">
      <x:c r="A12" s="141" t="s">
        <x:v>855</x:v>
      </x:c>
      <x:c r="B12" s="141"/>
      <x:c r="C12" s="141"/>
      <x:c r="D12" s="141"/>
      <x:c r="E12" s="141"/>
      <x:c r="F12" s="141"/>
      <x:c r="G12" s="141"/>
      <x:c r="H12" s="141"/>
      <x:c r="I12" s="141"/>
      <x:c r="J12" s="141"/>
    </x:row>
    <x:row r="13" ht="33.95000076293945" customHeight="1">
      <x:c r="A13" s="105" t="s">
        <x:v>856</x:v>
      </x:c>
      <x:c r="B13" s="137" t="s">
        <x:v>857</x:v>
      </x:c>
      <x:c r="C13" s="137"/>
      <x:c r="D13" s="137"/>
      <x:c r="E13" s="137"/>
      <x:c r="F13" s="137"/>
      <x:c r="G13" s="137"/>
      <x:c r="H13" s="137"/>
      <x:c r="I13" s="137"/>
      <x:c r="J13" s="137"/>
    </x:row>
    <x:row r="14" ht="33.95000076293945" customHeight="1">
      <x:c r="A14" s="105" t="s">
        <x:v>858</x:v>
      </x:c>
      <x:c r="B14" s="137" t="s">
        <x:v>859</x:v>
      </x:c>
      <x:c r="C14" s="137"/>
      <x:c r="D14" s="137"/>
      <x:c r="E14" s="137"/>
      <x:c r="F14" s="137"/>
      <x:c r="G14" s="137"/>
      <x:c r="H14" s="137"/>
      <x:c r="I14" s="137"/>
      <x:c r="J14" s="137"/>
    </x:row>
    <x:row r="15" ht="33.95000076293945" customHeight="1">
      <x:c r="A15" s="105" t="s">
        <x:v>860</x:v>
      </x:c>
      <x:c r="B15" s="137" t="s">
        <x:v>861</x:v>
      </x:c>
      <x:c r="C15" s="137"/>
      <x:c r="D15" s="137"/>
      <x:c r="E15" s="137"/>
      <x:c r="F15" s="137"/>
      <x:c r="G15" s="137"/>
      <x:c r="H15" s="137"/>
      <x:c r="I15" s="137"/>
      <x:c r="J15" s="137"/>
    </x:row>
    <x:row r="16" ht="33.95000076293945" customHeight="1">
      <x:c r="A16" s="105" t="s">
        <x:v>862</x:v>
      </x:c>
      <x:c r="B16" s="137" t="s">
        <x:v>863</x:v>
      </x:c>
      <x:c r="C16" s="137"/>
      <x:c r="D16" s="137"/>
      <x:c r="E16" s="137"/>
      <x:c r="F16" s="137"/>
      <x:c r="G16" s="137"/>
      <x:c r="H16" s="137"/>
      <x:c r="I16" s="137"/>
      <x:c r="J16" s="137"/>
    </x:row>
    <x:row r="17" ht="33.95000076293945" customHeight="1">
      <x:c r="A17" s="105" t="s">
        <x:v>864</x:v>
      </x:c>
      <x:c r="B17" s="137" t="s">
        <x:v>865</x:v>
      </x:c>
      <x:c r="C17" s="137"/>
      <x:c r="D17" s="137"/>
      <x:c r="E17" s="137"/>
      <x:c r="F17" s="137"/>
      <x:c r="G17" s="137"/>
      <x:c r="H17" s="137"/>
      <x:c r="I17" s="137"/>
      <x:c r="J17" s="137"/>
    </x:row>
  </x:sheetData>
  <x:mergeCells>
    <x:mergeCell ref="B14:J14"/>
    <x:mergeCell ref="B15:J15"/>
    <x:mergeCell ref="B16:J16"/>
    <x:mergeCell ref="B17:J17"/>
    <x:mergeCell ref="A1:J1"/>
    <x:mergeCell ref="A2:J2"/>
    <x:mergeCell ref="A3:J3"/>
    <x:mergeCell ref="A12:J12"/>
    <x:mergeCell ref="B13:J13"/>
  </x:mergeCells>
  <x:conditionalFormatting sqref="I6:I10">
    <x:cfRule type="expression" dxfId="2" priority="1">
      <x:formula>I6="បានបញ្ចប់"</x:formula>
    </x:cfRule>
    <x:cfRule type="expression" dxfId="1" priority="2">
      <x:formula>I6="កំពុងធ្វើ"</x:formula>
    </x:cfRule>
    <x:cfRule type="expression" dxfId="0" priority="3">
      <x:formula>I6="មិនទាន់មាន Evidence"</x:formula>
    </x:cfRule>
  </x:conditionalFormatting>
  <x:dataValidations count="1">
    <x:dataValidation type="list" sqref="I6:I10">
      <x:formula1>"គ្រោង,កំពុងធ្វើ,រង់ចាំ Review,បានបញ្ចប់,ជាប់គាំង,មិនទាន់មាន Evidence"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8" hidden="0" customWidth="1"/>
    <x:col min="4" max="4" width="38" hidden="0" customWidth="1"/>
    <x:col min="5" max="5" width="30" hidden="0" customWidth="1"/>
    <x:col min="6" max="6" width="40" hidden="0" customWidth="1"/>
    <x:col min="7" max="7" width="31" hidden="0" customWidth="1"/>
    <x:col min="8" max="8" width="10" hidden="0" customWidth="1"/>
    <x:col min="9" max="9" width="15" hidden="0" customWidth="1"/>
    <x:col min="10" max="10" width="17" hidden="0" customWidth="1"/>
  </x:cols>
  <x:sheetData>
    <x:row r="1" ht="34" customHeight="1">
      <x:c r="A1" s="299" t="str">
        <x:v>ផែនការចាត់តាំងការងារប្រចាំសប្ដាហ៍ទី២</x:v>
      </x:c>
      <x:c r="B1" s="299"/>
      <x:c r="C1" s="299"/>
      <x:c r="D1" s="299"/>
      <x:c r="E1" s="299"/>
      <x:c r="F1" s="299"/>
      <x:c r="G1" s="299"/>
      <x:c r="H1" s="299"/>
      <x:c r="I1" s="299"/>
      <x:c r="J1" s="299"/>
    </x:row>
    <x:row r="2" ht="26" customHeight="1">
      <x:c r="A2" s="307" t="str">
        <x:v>ប្រព័ន្ធគ្រប់គ្រងលិខិតអញ្ចើញឌីជីថល (E-Invitation)</x:v>
      </x:c>
      <x:c r="B2" s="307"/>
      <x:c r="C2" s="307"/>
      <x:c r="D2" s="307"/>
      <x:c r="E2" s="307"/>
      <x:c r="F2" s="307"/>
      <x:c r="G2" s="307"/>
      <x:c r="H2" s="307"/>
      <x:c r="I2" s="307"/>
      <x:c r="J2" s="307"/>
    </x:row>
    <x:row r="3" ht="24" customHeight="1">
      <x:c r="A3" s="315" t="str">
        <x:v>រយៈពេលការងារ៖ 14–20 September 2026  |  Checkpoint៖ Saturday 19-Sep-2026 18:00  |  Final Deadline៖ Sunday 20-Sep-2026 23:59</x:v>
      </x:c>
      <x:c r="B3" s="315"/>
      <x:c r="C3" s="315"/>
      <x:c r="D3" s="315"/>
      <x:c r="E3" s="315"/>
      <x:c r="F3" s="315"/>
      <x:c r="G3" s="315"/>
      <x:c r="H3" s="315"/>
      <x:c r="I3" s="315"/>
      <x:c r="J3" s="315"/>
    </x:row>
    <x:row r="4" ht="30" customHeight="1">
      <x:c r="A4" s="317" t="str">
        <x:v>ច្បាប់សំខាន់៖ សមាជិកម្នាក់ = Assignment ផ្ទាល់ខ្លួន ១ | មិនធ្វើជំនួសអ្នកដទៃ លុះត្រាតែ Team Leader Reassign | Evidence ត្រូវមានសម្រាប់ការវាយតម្លៃ</x:v>
      </x:c>
      <x:c r="B4" s="317"/>
      <x:c r="C4" s="317"/>
      <x:c r="D4" s="317"/>
      <x:c r="E4" s="317"/>
      <x:c r="F4" s="317"/>
      <x:c r="G4" s="317"/>
      <x:c r="H4" s="317"/>
      <x:c r="I4" s="317"/>
      <x:c r="J4" s="317"/>
    </x:row>
    <x:row r="5" ht="31" customHeight="1">
      <x:c r="A5" s="325" t="str">
        <x:v>ល.រ</x:v>
      </x:c>
      <x:c r="B5" s="325" t="str">
        <x:v>សមាជិក</x:v>
      </x:c>
      <x:c r="C5" s="325" t="str">
        <x:v>តួនាទី</x:v>
      </x:c>
      <x:c r="D5" s="325" t="str">
        <x:v>Assignment សំខាន់ / Detailed Work</x:v>
      </x:c>
      <x:c r="E5" s="325" t="str">
        <x:v>Deliverables / Evidence</x:v>
      </x:c>
      <x:c r="F5" s="325" t="str">
        <x:v>Acceptance Criteria</x:v>
      </x:c>
      <x:c r="G5" s="325" t="str">
        <x:v>Branch</x:v>
      </x:c>
      <x:c r="H5" s="325" t="str">
        <x:v>Priority</x:v>
      </x:c>
      <x:c r="I5" s="325" t="str">
        <x:v>Status</x:v>
      </x:c>
      <x:c r="J5" s="325" t="str">
        <x:v>Deadline</x:v>
      </x:c>
    </x:row>
    <x:row r="6" ht="112" customHeight="1">
      <x:c r="A6" s="339" t="n">
        <x:v>1</x:v>
      </x:c>
      <x:c r="B6" s="340" t="str">
        <x:v>ឡាំ គីមឡុង
Lam Kimlong</x:v>
      </x:c>
      <x:c r="C6" s="340" t="str">
        <x:v>Backend</x:v>
      </x:c>
      <x:c r="D6" s="340" t="str">
        <x:v>Backend Security + OWASP Verification
1) Run OWASP dependency-check after current Spring Boot/Tomcat updates.
2) Review all High/Critical findings.
3) Fix safe dependency issues or document valid exceptions.
4) Re-run backend tests/package and verify Swagger/Scalar access/security.</x:v>
      </x:c>
      <x:c r="E6" s="340" t="str">
        <x:v>PR/commit link
OWASP HTML/JSON report
mvn test/package output
Short Telegram video or screenshots</x:v>
      </x:c>
      <x:c r="F6" s="340" t="str">
        <x:v>OWASP report generated; no unresolved High/Critical finding without explanation; backend tests PASS; API docs still work and remain correctly protected.</x:v>
      </x:c>
      <x:c r="G6" s="359" t="str">
        <x:v>feat/week2-backend-security-owasp</x:v>
      </x:c>
      <x:c r="H6" s="341" t="str">
        <x:v>ខ្ពស់</x:v>
      </x:c>
      <x:c r="I6" s="341" t="str">
        <x:v>គ្រោង</x:v>
      </x:c>
      <x:c r="J6" s="365" t="n">
        <x:v>46285</x:v>
      </x:c>
    </x:row>
    <x:row r="7" ht="112" customHeight="1">
      <x:c r="A7" s="343" t="n">
        <x:v>2</x:v>
      </x:c>
      <x:c r="B7" s="334" t="str">
        <x:v>គុយ ដាលី
Kuy Daly</x:v>
      </x:c>
      <x:c r="C7" s="334" t="str">
        <x:v>Backend</x:v>
      </x:c>
      <x:c r="D7" s="334" t="str">
        <x:v>Payment + Telegram End-to-End Testing
1) Test order ID/amount validation.
2) Test payment states: pending/paid/failed/cancelled where supported.
3) Test duplicate confirmation/idempotency.
4) Test Telegram/manual confirmation flow and report/fix reproducible backend issues.</x:v>
      </x:c>
      <x:c r="E7" s="334" t="str">
        <x:v>PR/commit link
Postman/mock collection or screenshots
Test output
Telegram video/report</x:v>
      </x:c>
      <x:c r="F7" s="334" t="str">
        <x:v>Core payment scenarios are reproducible and documented; duplicate confirmation cannot double-process; Telegram confirmation path is verified; backend tests PASS for changed code.</x:v>
      </x:c>
      <x:c r="G7" s="360" t="str">
        <x:v>test/week2-payment-telegram-e2e</x:v>
      </x:c>
      <x:c r="H7" s="333" t="str">
        <x:v>ខ្ពស់</x:v>
      </x:c>
      <x:c r="I7" s="333" t="str">
        <x:v>គ្រោង</x:v>
      </x:c>
      <x:c r="J7" s="366" t="n">
        <x:v>46285</x:v>
      </x:c>
    </x:row>
    <x:row r="8" ht="112" customHeight="1">
      <x:c r="A8" s="343" t="n">
        <x:v>3</x:v>
      </x:c>
      <x:c r="B8" s="334" t="str">
        <x:v>នី បញ្ញា
Ny Panha</x:v>
      </x:c>
      <x:c r="C8" s="334" t="str">
        <x:v>Frontend — User &amp; Admin</x:v>
      </x:c>
      <x:c r="D8" s="334" t="str">
        <x:v>Frontend Integration + Priority Bug Fixes
1) Test login/logout and route guards.
2) Test User Dashboard and template list/create/edit/preview.
3) Test Admin user/template management.
4) Fix reproducible P0/P1 frontend ↔ API route/data mismatches.
5) Run lint/build/tests.</x:v>
      </x:c>
      <x:c r="E8" s="334" t="str">
        <x:v>Own PR/commit link
Before/after screenshots
lint/build/test output
Short demo video</x:v>
      </x:c>
      <x:c r="F8" s="334" t="str">
        <x:v>Critical User/Admin flows work without reproducible P0/P1 integration defects; frontend-user and frontend-admin lint/build PASS; changed flows have evidence.</x:v>
      </x:c>
      <x:c r="G8" s="360" t="str">
        <x:v>fix/week2-user-admin-integration</x:v>
      </x:c>
      <x:c r="H8" s="333" t="str">
        <x:v>ខ្ពស់</x:v>
      </x:c>
      <x:c r="I8" s="333" t="str">
        <x:v>គ្រោង</x:v>
      </x:c>
      <x:c r="J8" s="366" t="n">
        <x:v>46285</x:v>
      </x:c>
    </x:row>
    <x:row r="9" ht="112" customHeight="1">
      <x:c r="A9" s="343" t="n">
        <x:v>4</x:v>
      </x:c>
      <x:c r="B9" s="334" t="str">
        <x:v>គក់ ស្រីផ្កាយ
Kouk SreyPkay</x:v>
      </x:c>
      <x:c r="C9" s="334" t="str">
        <x:v>Frontend — User</x:v>
      </x:c>
      <x:c r="D9" s="334" t="str">
        <x:v>Responsive + Accessibility Improvement
1) Audit Dashboard, Template Catalog and Builder at 360/390/412px + desktop.
2) Fix horizontal overflow/layout breakage.
3) Review forms, labels, keyboard/focus, loading/error/empty states.
4) Re-test after fixes and run production build.</x:v>
      </x:c>
      <x:c r="E9" s="334" t="str">
        <x:v>Own PR/commit link
360/390/412px before/after screenshots
QA checklist
Build result</x:v>
      </x:c>
      <x:c r="F9" s="334" t="str">
        <x:v>Target pages are usable on required widths; no critical horizontal overflow; core forms/states are accessible by keyboard/focus; production build PASS.</x:v>
      </x:c>
      <x:c r="G9" s="360" t="str">
        <x:v>fix/week2-responsive-a11y</x:v>
      </x:c>
      <x:c r="H9" s="333" t="str">
        <x:v>ខ្ពស់</x:v>
      </x:c>
      <x:c r="I9" s="333" t="str">
        <x:v>គ្រោង</x:v>
      </x:c>
      <x:c r="J9" s="366" t="n">
        <x:v>46285</x:v>
      </x:c>
    </x:row>
    <x:row r="10" ht="112" customHeight="1">
      <x:c r="A10" s="343" t="n">
        <x:v>5</x:v>
      </x:c>
      <x:c r="B10" s="334" t="str">
        <x:v>រ៉ាន់ ណារ៉ាត់
Ran Narath</x:v>
      </x:c>
      <x:c r="C10" s="334" t="str">
        <x:v>Frontend — User</x:v>
      </x:c>
      <x:c r="D10" s="334" t="str">
        <x:v>Public Invitation + RSVP Regression
1) Re-test recent audio/countdown fixes.
2) Test opening animation, RSVP validation/submission, gallery and music.
3) Test countdown, location/map and custom-upload fallbacks.
4) Check mobile + desktop and fix/document P0/P1 issues.</x:v>
      </x:c>
      <x:c r="E10" s="334" t="str">
        <x:v>Own PR/commit link
Mobile/desktop screenshots or video
Regression checklist
Defect/fix report</x:v>
      </x:c>
      <x:c r="F10" s="334" t="str">
        <x:v>Public invitation opens correctly; RSVP flow is functional; music/countdown/gallery/location work without broken assets; P0/P1 defects fixed or clearly documented.</x:v>
      </x:c>
      <x:c r="G10" s="360" t="str">
        <x:v>test/week2-public-rsvp-regression</x:v>
      </x:c>
      <x:c r="H10" s="333" t="str">
        <x:v>ខ្ពស់</x:v>
      </x:c>
      <x:c r="I10" s="333" t="str">
        <x:v>គ្រោង</x:v>
      </x:c>
      <x:c r="J10" s="366" t="n">
        <x:v>46285</x:v>
      </x:c>
    </x:row>
    <x:row r="11" ht="112" customHeight="1">
      <x:c r="A11" s="345" t="n">
        <x:v>6</x:v>
      </x:c>
      <x:c r="B11" s="346" t="str">
        <x:v>កឿង វីរៈ
Koeurng Vireak</x:v>
      </x:c>
      <x:c r="C11" s="346" t="str">
        <x:v>Team Leader — Backend</x:v>
      </x:c>
      <x:c r="D11" s="346" t="str">
        <x:v>Integration + Release Readiness Review
1) Review each member's work individually and verify ownership/evidence.
2) Review PRs and reject incomplete work.
3) Run integrated smoke tests on accepted changes.
4) Update blocker list, weekly audit and final Week 2 report.
5) Merge only after evidence + tests meet acceptance criteria.</x:v>
      </x:c>
      <x:c r="E11" s="346" t="str">
        <x:v>PR review comments/decisions
Smoke-test report
Updated blocker list
Updated team audit/report</x:v>
      </x:c>
      <x:c r="F11" s="346" t="str">
        <x:v>Every member has a clear final status and evidence; accepted PRs pass required checks; main/integration status is recorded; unresolved blockers have owner + next action.</x:v>
      </x:c>
      <x:c r="G11" s="361" t="str">
        <x:v>docs/week2-release-readiness-review</x:v>
      </x:c>
      <x:c r="H11" s="347" t="str">
        <x:v>បន្ទាន់</x:v>
      </x:c>
      <x:c r="I11" s="347" t="str">
        <x:v>គ្រោង</x:v>
      </x:c>
      <x:c r="J11" s="367" t="n">
        <x:v>46285</x:v>
      </x:c>
    </x:row>
    <x:row r="12" ht="12" customHeight="1">
      <x:c r="A12" s="277"/>
      <x:c r="B12" s="277"/>
      <x:c r="C12" s="277"/>
      <x:c r="D12" s="277"/>
      <x:c r="E12" s="277"/>
      <x:c r="F12" s="277"/>
      <x:c r="G12" s="277"/>
      <x:c r="H12" s="277"/>
      <x:c r="I12" s="277"/>
      <x:c r="J12" s="277"/>
    </x:row>
    <x:row r="13" ht="28" customHeight="1">
      <x:c r="A13" s="377" t="str">
        <x:v>របៀប Submit និង Definition of Done — Week 2</x:v>
      </x:c>
      <x:c r="B13" s="377"/>
      <x:c r="C13" s="377"/>
      <x:c r="D13" s="377"/>
      <x:c r="E13" s="377"/>
      <x:c r="F13" s="377"/>
      <x:c r="G13" s="377"/>
      <x:c r="H13" s="377"/>
      <x:c r="I13" s="377"/>
      <x:c r="J13" s="377"/>
    </x:row>
    <x:row r="14" ht="28" customHeight="1">
      <x:c r="A14" s="391" t="str">
        <x:v>1</x:v>
      </x:c>
      <x:c r="B14" s="392" t="str">
        <x:v>សមាជិកម្នាក់ៗត្រូវធ្វើ Assignment របស់ខ្លួន។ មិនត្រូវយក Assignment របស់អ្នកដទៃមកធ្វើជំនួស លុះត្រាតែ Team Leader Reassign ជាផ្លូវការ។</x:v>
      </x:c>
      <x:c r="C14" s="392"/>
      <x:c r="D14" s="392"/>
      <x:c r="E14" s="392"/>
      <x:c r="F14" s="392"/>
      <x:c r="G14" s="392"/>
      <x:c r="H14" s="392"/>
      <x:c r="I14" s="392"/>
      <x:c r="J14" s="393"/>
    </x:row>
    <x:row r="15" ht="28" customHeight="1">
      <x:c r="A15" s="394" t="str">
        <x:v>2</x:v>
      </x:c>
      <x:c r="B15" s="388" t="str">
        <x:v>ប្រើ Branch ផ្ទាល់ខ្លួនតាមឈ្មោះដែលបានកំណត់ + Pull Request/Commit Evidence; មិន Push ទៅ main ដោយផ្ទាល់។</x:v>
      </x:c>
      <x:c r="C15" s="388"/>
      <x:c r="D15" s="388"/>
      <x:c r="E15" s="388"/>
      <x:c r="F15" s="388"/>
      <x:c r="G15" s="388"/>
      <x:c r="H15" s="388"/>
      <x:c r="I15" s="388"/>
      <x:c r="J15" s="395"/>
    </x:row>
    <x:row r="16" ht="28" customHeight="1">
      <x:c r="A16" s="394" t="str">
        <x:v>3</x:v>
      </x:c>
      <x:c r="B16" s="388" t="str">
        <x:v>Checkpoint ថ្ងៃសៅរ៍ 19-Sep-2026 ម៉ោង 18:00 — ត្រូវបង្ហាញ Progress, Blocker និង Evidence ដំបូង (PR/Commit/Test/Screenshot/Video/Report តាម Assignment)។</x:v>
      </x:c>
      <x:c r="C16" s="388"/>
      <x:c r="D16" s="388"/>
      <x:c r="E16" s="388"/>
      <x:c r="F16" s="388"/>
      <x:c r="G16" s="388"/>
      <x:c r="H16" s="388"/>
      <x:c r="I16" s="388"/>
      <x:c r="J16" s="395"/>
    </x:row>
    <x:row r="17" ht="28" customHeight="1">
      <x:c r="A17" s="394" t="str">
        <x:v>4</x:v>
      </x:c>
      <x:c r="B17" s="388" t="str">
        <x:v>Final Deadline ថ្ងៃអាទិត្យ 20-Sep-2026 ម៉ោង 23:59 — Assignment និង Evidence ត្រូវ Ready for Review; No verifiable evidence = Assignment Score 0។</x:v>
      </x:c>
      <x:c r="C17" s="388"/>
      <x:c r="D17" s="388"/>
      <x:c r="E17" s="388"/>
      <x:c r="F17" s="388"/>
      <x:c r="G17" s="388"/>
      <x:c r="H17" s="388"/>
      <x:c r="I17" s="388"/>
      <x:c r="J17" s="395"/>
    </x:row>
    <x:row r="18" ht="28" customHeight="1">
      <x:c r="A18" s="396" t="str">
        <x:v>5</x:v>
      </x:c>
      <x:c r="B18" s="397" t="str">
        <x:v>ការងារត្រូវបានចាត់ទុកថា Complete លុះត្រាតែ Acceptance Criteria បានបំពេញ, Test/Build ដែលពាក់ព័ន្ធ PASS និង Team Leader Review Evidence រួច។</x:v>
      </x:c>
      <x:c r="C18" s="397"/>
      <x:c r="D18" s="397"/>
      <x:c r="E18" s="397"/>
      <x:c r="F18" s="397"/>
      <x:c r="G18" s="397"/>
      <x:c r="H18" s="397"/>
      <x:c r="I18" s="397"/>
      <x:c r="J18" s="398"/>
    </x:row>
  </x:sheetData>
  <x:mergeCells>
    <x:mergeCell ref="B14:J14"/>
    <x:mergeCell ref="B15:J15"/>
    <x:mergeCell ref="B16:J16"/>
    <x:mergeCell ref="B17:J17"/>
    <x:mergeCell ref="B18:J18"/>
    <x:mergeCell ref="A1:J1"/>
    <x:mergeCell ref="A2:J2"/>
    <x:mergeCell ref="A3:J3"/>
    <x:mergeCell ref="A4:J4"/>
    <x:mergeCell ref="A13:J13"/>
  </x:mergeCells>
  <x:conditionalFormatting sqref="I6:I11">
    <x:cfRule type="expression" dxfId="8" priority="1">
      <x:formula>I6="បានបញ្ចប់"</x:formula>
    </x:cfRule>
    <x:cfRule type="expression" dxfId="9" priority="2">
      <x:formula>I6="កំពុងធ្វើ"</x:formula>
    </x:cfRule>
    <x:cfRule type="expression" dxfId="10" priority="3">
      <x:formula>I6="រង់ចាំ Review"</x:formula>
    </x:cfRule>
    <x:cfRule type="expression" dxfId="11" priority="4">
      <x:formula>I6="ជាប់គាំង"</x:formula>
    </x:cfRule>
    <x:cfRule type="expression" dxfId="12" priority="5">
      <x:formula>I6="មិនទាន់មាន Evidence"</x:formula>
    </x:cfRule>
  </x:conditionalFormatting>
  <x:dataValidations count="1">
    <x:dataValidation type="list" sqref="I6:I11">
      <x:formula1>"គ្រោង,កំពុងធ្វើ,រង់ចាំ Review,បានបញ្ចប់,ជាប់គាំង,មិនទាន់មាន Evidence"</x:formula1>
    </x:dataValidation>
  </x:dataValidations>
  <x:pageMargins left="0.7" right="0.7" top="0.75" bottom="0.75" header="0.3" footer="0.3"/>
</x:worksheet>
</file>