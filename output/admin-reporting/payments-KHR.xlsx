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 Ledger" r:id="rId3" sheetId="1"/>
    <sheet name="Summary" r:id="rId4" sheetId="2"/>
    <sheet name="KPI Dictionary" r:id="rId5" sheetId="3"/>
    <sheet name="Metadata" r:id="rId6" sheetId="4"/>
  </sheets>
  <definedNames>
    <definedName name="_xlnm.Print_Titles" localSheetId="0">'Payments Ledger'!$A:$B,'Payments Ledger'!$6:$6</definedName>
    <definedName name="_xlnm._FilterDatabase" localSheetId="0" hidden="true">'Payments Ledger'!$A$6:$V$7</definedName>
    <definedName name="_xlnm.Print_Area" localSheetId="0">'Payments Ledger'!$A$1:$V$9</definedName>
    <definedName name="_xlnm.Print_Titles" localSheetId="2">'KPI Dictionary'!$A:$B,'KPI Dictionary'!$6:$6</definedName>
    <definedName name="_xlnm._FilterDatabase" localSheetId="2" hidden="true">'KPI Dictionary'!$A$6:$N$34</definedName>
    <definedName name="_xlnm.Print_Area" localSheetId="2">'KPI Dictionary'!$A$1:$N$34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Kantumruy Pro"/>
      <sz val="10.0"/>
    </font>
    <font>
      <name val="Kantumruy Pro"/>
      <sz val="11.0"/>
      <b val="true"/>
      <color indexed="9"/>
    </font>
    <font>
      <name val="Mou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wrapText="true" vertical="top"/>
    </xf>
    <xf numFmtId="3" fontId="1" fillId="0" borderId="0" xfId="0" applyFont="true" applyAlignment="true" applyNumberFormat="true">
      <alignment wrapText="true" vertical="top" horizontal="right"/>
    </xf>
    <xf numFmtId="4" fontId="1" fillId="0" borderId="0" xfId="0" applyFont="true" applyAlignment="true" applyNumberFormat="true">
      <alignment wrapText="true" vertical="top" horizontal="right"/>
    </xf>
    <xf numFmtId="10" fontId="1" fillId="0" borderId="0" xfId="0" applyFont="true" applyAlignment="true" applyNumberFormat="true">
      <alignment wrapText="true" vertical="top" horizontal="right"/>
    </xf>
    <xf numFmtId="164" fontId="1" fillId="0" borderId="0" xfId="0" applyFont="true" applyAlignment="true" applyNumberFormat="true">
      <alignment wrapText="true" vertical="top" horizontal="right"/>
    </xf>
    <xf numFmtId="165" fontId="1" fillId="0" borderId="0" xfId="0" applyFont="true" applyAlignment="true" applyNumberFormat="true">
      <alignment wrapText="true" vertical="top" horizontal="right"/>
    </xf>
    <xf numFmtId="0" fontId="2" fillId="3" borderId="0" xfId="0" applyFont="true" applyAlignment="true" applyFill="true">
      <alignment wrapText="true" vertical="top"/>
    </xf>
    <xf numFmtId="0" fontId="3" fillId="0" borderId="0" xfId="0" applyFont="true" applyAlignment="true">
      <alignment wrapText="true" vertical="top"/>
    </xf>
  </cellXfs>
  <dxfs count="1">
    <dxf>
      <fill>
        <patternFill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V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1 records · currency-fixture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TEMPLATE-2</t>
        </is>
      </c>
      <c r="C7" s="1" t="inlineStr">
        <is>
          <t>ORDER-2</t>
        </is>
      </c>
      <c r="D7" s="1" t="inlineStr">
        <is>
          <t>REF-2</t>
        </is>
      </c>
      <c r="E7" s="2" t="n">
        <v>1.0</v>
      </c>
      <c r="F7" s="1" t="inlineStr">
        <is>
          <t>TEMPLATE</t>
        </is>
      </c>
      <c r="G7" s="1" t="inlineStr">
        <is>
          <t>Khmer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40000.0</v>
      </c>
      <c r="L7" s="3" t="n">
        <v>40000.0</v>
      </c>
      <c r="M7" s="1" t="inlineStr">
        <is>
          <t>KHR</t>
        </is>
      </c>
      <c r="N7" s="6" t="n">
        <v>46310.291666666664</v>
      </c>
      <c r="O7" s="6" t="n">
        <v>46310.333333333336</v>
      </c>
      <c r="P7" s="1" t="inlineStr">
        <is>
          <t>MANUAL_ADMIN</t>
        </is>
      </c>
      <c r="Q7" s="6" t="n">
        <v>46310.333333333336</v>
      </c>
      <c r="R7" s="1" t="inlineStr">
        <is>
          <t>Unavailable / មិនមានទិន្នន័យ</t>
        </is>
      </c>
      <c r="S7" s="1" t="inlineStr">
        <is>
          <t>MATCHED</t>
        </is>
      </c>
      <c r="T7" s="1" t="inlineStr">
        <is>
          <t>Unavailable / មិនមានទិន្នន័យ</t>
        </is>
      </c>
      <c r="U7" s="1" t="inlineStr">
        <is>
          <t>PERSISTED_CONFIRMATION</t>
        </is>
      </c>
      <c r="V7" s="1" t="inlineStr">
        <is>
          <t>Unavailable / មិនមានទិន្នន័យ</t>
        </is>
      </c>
    </row>
    <row r="8">
      <c r="A8" s="1" t="inlineStr">
        <is>
          <t>Verified USD (sheet)</t>
        </is>
      </c>
      <c r="C8" s="3" t="n">
        <f>SUMIFS(L7:L7,M7:M7,"USD",S7:S7,"MATCHED")</f>
        <v>0.0</v>
      </c>
    </row>
    <row r="9">
      <c r="A9" s="1" t="inlineStr">
        <is>
          <t>Verified KHR (sheet)</t>
        </is>
      </c>
      <c r="C9" s="3" t="n">
        <f>SUMIFS(L7:L7,M7:M7,"KHR",S7:S7,"MATCHED")</f>
        <v>40000.0</v>
      </c>
    </row>
  </sheetData>
  <autoFilter ref="A6:V7"/>
  <mergeCells count="4">
    <mergeCell ref="A1:V1"/>
    <mergeCell ref="A2:V2"/>
    <mergeCell ref="A3:V3"/>
    <mergeCell ref="A4:V4"/>
  </mergeCells>
  <conditionalFormatting sqref="J7">
    <cfRule type="expression" dxfId="0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2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0.0" customWidth="true"/>
    <col min="3" max="3" width="22.0" customWidth="true"/>
  </cols>
  <sheetData>
    <row r="1">
      <c r="A1" s="1" t="inlineStr">
        <is>
          <t>totalRecords</t>
        </is>
      </c>
      <c r="B1" s="2" t="n">
        <v>1.0</v>
      </c>
    </row>
    <row r="2">
      <c r="A2" s="1" t="inlineStr">
        <is>
          <t>confirmedReceiptsByCurrency</t>
        </is>
      </c>
      <c r="B2" s="1" t="inlineStr">
        <is>
          <t>USD</t>
        </is>
      </c>
      <c r="C2" s="3" t="n">
        <v>0.0</v>
      </c>
    </row>
    <row r="3">
      <c r="A3" s="1" t="inlineStr">
        <is>
          <t>confirmedReceiptsByCurrency</t>
        </is>
      </c>
      <c r="B3" s="1" t="inlineStr">
        <is>
          <t>KHR</t>
        </is>
      </c>
      <c r="C3" s="3" t="n">
        <v>40000.0</v>
      </c>
    </row>
    <row r="4">
      <c r="A4" s="1" t="inlineStr">
        <is>
          <t>pendingValueByCurrency</t>
        </is>
      </c>
      <c r="B4" s="1" t="inlineStr">
        <is>
          <t>USD</t>
        </is>
      </c>
      <c r="C4" s="3" t="n">
        <v>0.0</v>
      </c>
    </row>
    <row r="5">
      <c r="A5" s="1" t="inlineStr">
        <is>
          <t>pendingValueByCurrency</t>
        </is>
      </c>
      <c r="B5" s="1" t="inlineStr">
        <is>
          <t>KHR</t>
        </is>
      </c>
      <c r="C5" s="3" t="n">
        <v>0.0</v>
      </c>
    </row>
    <row r="6">
      <c r="A6" s="1" t="inlineStr">
        <is>
          <t>failedValueByCurrency</t>
        </is>
      </c>
      <c r="B6" s="1" t="inlineStr">
        <is>
          <t>USD</t>
        </is>
      </c>
      <c r="C6" s="3" t="n">
        <v>0.0</v>
      </c>
    </row>
    <row r="7">
      <c r="A7" s="1" t="inlineStr">
        <is>
          <t>failedValueByCurrency</t>
        </is>
      </c>
      <c r="B7" s="1" t="inlineStr">
        <is>
          <t>KHR</t>
        </is>
      </c>
      <c r="C7" s="3" t="n">
        <v>0.0</v>
      </c>
    </row>
    <row r="8">
      <c r="A8" s="1" t="inlineStr">
        <is>
          <t>templateReceiptsByCurrency</t>
        </is>
      </c>
      <c r="B8" s="1" t="inlineStr">
        <is>
          <t>USD</t>
        </is>
      </c>
      <c r="C8" s="3" t="n">
        <v>0.0</v>
      </c>
    </row>
    <row r="9">
      <c r="A9" s="1" t="inlineStr">
        <is>
          <t>templateReceiptsByCurrency</t>
        </is>
      </c>
      <c r="B9" s="1" t="inlineStr">
        <is>
          <t>KHR</t>
        </is>
      </c>
      <c r="C9" s="3" t="n">
        <v>40000.0</v>
      </c>
    </row>
    <row r="10">
      <c r="A10" s="1" t="inlineStr">
        <is>
          <t>subscriptionReceiptsByCurrency</t>
        </is>
      </c>
      <c r="B10" s="1" t="inlineStr">
        <is>
          <t>USD</t>
        </is>
      </c>
      <c r="C10" s="3" t="n">
        <v>0.0</v>
      </c>
    </row>
    <row r="11">
      <c r="A11" s="1" t="inlineStr">
        <is>
          <t>subscriptionReceiptsByCurrency</t>
        </is>
      </c>
      <c r="B11" s="1" t="inlineStr">
        <is>
          <t>KHR</t>
        </is>
      </c>
      <c r="C11" s="3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fitToPage="true"/>
  </sheetPr>
  <dimension ref="A1:N34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7.0" customWidth="true"/>
  </cols>
  <sheetData>
    <row r="1" customHeight="1" ht="38.0">
      <c r="A1" s="8" t="inlineStr">
        <is>
          <t>KoupReng E-Invitation · វចនានុក្រមសូចនាករ</t>
        </is>
      </c>
    </row>
    <row r="2">
      <c r="A2" s="1" t="inlineStr">
        <is>
          <t>KPI dictionary</t>
        </is>
      </c>
    </row>
    <row r="3">
      <c r="A3" s="1" t="inlineStr">
        <is>
          <t>Period [2026-10-15, 2026-10-16) · definition · Asia/Phnom_Penh</t>
        </is>
      </c>
    </row>
    <row r="4">
      <c r="A4" s="1" t="inlineStr">
        <is>
          <t>ALL FILTERED RECORDS · 28 records · currency-fixture</t>
        </is>
      </c>
    </row>
    <row r="6" customHeight="1" ht="52.0">
      <c r="A6" s="7" t="inlineStr">
        <is>
          <t>#</t>
        </is>
      </c>
      <c r="B6" s="7" t="inlineStr">
        <is>
          <t>កូដ
Metric code</t>
        </is>
      </c>
      <c r="C6" s="7" t="inlineStr">
        <is>
          <t>ឈ្មោះខ្មែរ
Khmer label</t>
        </is>
      </c>
      <c r="D6" s="7" t="inlineStr">
        <is>
          <t>ឈ្មោះអង់គ្លេស
English label</t>
        </is>
      </c>
      <c r="E6" s="7" t="inlineStr">
        <is>
          <t>និយមន័យ
Definition</t>
        </is>
      </c>
      <c r="F6" s="7" t="inlineStr">
        <is>
          <t>រូបមន្ត
Calculation</t>
        </is>
      </c>
      <c r="G6" s="7" t="inlineStr">
        <is>
          <t>ប្រភពទិន្នន័យ
Database source</t>
        </is>
      </c>
      <c r="H6" s="7" t="inlineStr">
        <is>
          <t>កាលបរិច្ឆេទ
Date dimension</t>
        </is>
      </c>
      <c r="I6" s="7" t="inlineStr">
        <is>
          <t>រួមបញ្ចូល
Included statuses</t>
        </is>
      </c>
      <c r="J6" s="7" t="inlineStr">
        <is>
          <t>មិនរួមបញ្ចូល
Excluded statuses</t>
        </is>
      </c>
      <c r="K6" s="7" t="inlineStr">
        <is>
          <t>ភាគបែង
Denominator</t>
        </is>
      </c>
      <c r="L6" s="7" t="inlineStr">
        <is>
          <t>រូបិយប័ណ្ណ
Currency behavior</t>
        </is>
      </c>
      <c r="M6" s="7" t="inlineStr">
        <is>
          <t>ទិន្នន័យមិនមាន
Missing-data behavior</t>
        </is>
      </c>
      <c r="N6" s="7" t="inlineStr">
        <is>
          <t>កំណែ
Reviewed version</t>
        </is>
      </c>
    </row>
    <row r="7" customHeight="1" ht="34.0">
      <c r="A7" s="2" t="n">
        <v>1.0</v>
      </c>
      <c r="B7" s="1" t="inlineStr">
        <is>
          <t>totalUsers</t>
        </is>
      </c>
      <c r="C7" s="1" t="inlineStr">
        <is>
          <t>អ្នកប្រើប្រាស់សរុប</t>
        </is>
      </c>
      <c r="D7" s="1" t="inlineStr">
        <is>
          <t>Registered users</t>
        </is>
      </c>
      <c r="E7" s="1" t="inlineStr">
        <is>
          <t>Registered users</t>
        </is>
      </c>
      <c r="F7" s="1" t="inlineStr">
        <is>
          <t>COUNT nondeleted users</t>
        </is>
      </c>
      <c r="G7" s="1" t="inlineStr">
        <is>
          <t>users</t>
        </is>
      </c>
      <c r="H7" s="1" t="inlineStr">
        <is>
          <t>Generation snapshot</t>
        </is>
      </c>
      <c r="I7" s="1" t="inlineStr">
        <is>
          <t>Nondeleted accounts</t>
        </is>
      </c>
      <c r="J7" s="1" t="inlineStr">
        <is>
          <t>Deleted</t>
        </is>
      </c>
      <c r="K7" s="1" t="inlineStr">
        <is>
          <t>none</t>
        </is>
      </c>
      <c r="L7" s="1" t="inlineStr">
        <is>
          <t>Not monetary</t>
        </is>
      </c>
      <c r="M7" s="1" t="inlineStr">
        <is>
          <t>Zero means no matching persisted records; unavailable is null</t>
        </is>
      </c>
      <c r="N7" s="1" t="inlineStr">
        <is>
          <t>2026-10-24.1</t>
        </is>
      </c>
    </row>
    <row r="8" customHeight="1" ht="34.0">
      <c r="A8" s="2" t="n">
        <v>2.0</v>
      </c>
      <c r="B8" s="1" t="inlineStr">
        <is>
          <t>totalTemplates</t>
        </is>
      </c>
      <c r="C8" s="1" t="inlineStr">
        <is>
          <t>គំរូសរុប</t>
        </is>
      </c>
      <c r="D8" s="1" t="inlineStr">
        <is>
          <t>Catalog templates</t>
        </is>
      </c>
      <c r="E8" s="1" t="inlineStr">
        <is>
          <t>Catalog templates</t>
        </is>
      </c>
      <c r="F8" s="1" t="inlineStr">
        <is>
          <t>COUNT templates</t>
        </is>
      </c>
      <c r="G8" s="1" t="inlineStr">
        <is>
          <t>templates</t>
        </is>
      </c>
      <c r="H8" s="1" t="inlineStr">
        <is>
          <t>Generation snapshot</t>
        </is>
      </c>
      <c r="I8" s="1" t="inlineStr">
        <is>
          <t>All activation states</t>
        </is>
      </c>
      <c r="J8" s="1" t="inlineStr">
        <is>
          <t>none</t>
        </is>
      </c>
      <c r="K8" s="1" t="inlineStr">
        <is>
          <t>none</t>
        </is>
      </c>
      <c r="L8" s="1" t="inlineStr">
        <is>
          <t>Not monetary</t>
        </is>
      </c>
      <c r="M8" s="1" t="inlineStr">
        <is>
          <t>Zero means no matching persisted records; unavailable is null</t>
        </is>
      </c>
      <c r="N8" s="1" t="inlineStr">
        <is>
          <t>2026-10-24.1</t>
        </is>
      </c>
    </row>
    <row r="9" customHeight="1" ht="34.0">
      <c r="A9" s="2" t="n">
        <v>3.0</v>
      </c>
      <c r="B9" s="1" t="inlineStr">
        <is>
          <t>totalRsvps</t>
        </is>
      </c>
      <c r="C9" s="1" t="inlineStr">
        <is>
          <t>ភ្ញៀវបានឆ្លើយ</t>
        </is>
      </c>
      <c r="D9" s="1" t="inlineStr">
        <is>
          <t>Guest-linked responses</t>
        </is>
      </c>
      <c r="E9" s="1" t="inlineStr">
        <is>
          <t>Guest-linked responses</t>
        </is>
      </c>
      <c r="F9" s="1" t="inlineStr">
        <is>
          <t>COUNT latest valid response per eligible guest</t>
        </is>
      </c>
      <c r="G9" s="1" t="inlineStr">
        <is>
          <t>rsvps JOIN guests ON guest_id AND invitation_id</t>
        </is>
      </c>
      <c r="H9" s="1" t="inlineStr">
        <is>
          <t>Selected invitation cohort, current response snapshot</t>
        </is>
      </c>
      <c r="I9" s="1" t="inlineStr">
        <is>
          <t>ATTENDING, NOT_ATTENDING, MAYBE</t>
        </is>
      </c>
      <c r="J9" s="1" t="inlineStr">
        <is>
          <t>Anonymous, cross-invitation, duplicate older responses</t>
        </is>
      </c>
      <c r="K9" s="1" t="inlineStr">
        <is>
          <t>none</t>
        </is>
      </c>
      <c r="L9" s="1" t="inlineStr">
        <is>
          <t>Not monetary</t>
        </is>
      </c>
      <c r="M9" s="1" t="inlineStr">
        <is>
          <t>Zero means no matching persisted records; unavailable is null</t>
        </is>
      </c>
      <c r="N9" s="1" t="inlineStr">
        <is>
          <t>2026-10-24.1</t>
        </is>
      </c>
    </row>
    <row r="10" customHeight="1" ht="34.0">
      <c r="A10" s="2" t="n">
        <v>4.0</v>
      </c>
      <c r="B10" s="1" t="inlineStr">
        <is>
          <t>totalInvitations</t>
        </is>
      </c>
      <c r="C10" s="1" t="inlineStr">
        <is>
          <t>ធៀបការសរុប</t>
        </is>
      </c>
      <c r="D10" s="1" t="inlineStr">
        <is>
          <t>Invitations in cohort</t>
        </is>
      </c>
      <c r="E10" s="1" t="inlineStr">
        <is>
          <t>Invitations in cohort</t>
        </is>
      </c>
      <c r="F10" s="1" t="inlineStr">
        <is>
          <t>COUNT filtered nondeleted invitations</t>
        </is>
      </c>
      <c r="G10" s="1" t="inlineStr">
        <is>
          <t>invitations</t>
        </is>
      </c>
      <c r="H10" s="1" t="inlineStr">
        <is>
          <t>Selected invitation dimension; createdAt for executive</t>
        </is>
      </c>
      <c r="I10" s="1" t="inlineStr">
        <is>
          <t>All publication states</t>
        </is>
      </c>
      <c r="J10" s="1" t="inlineStr">
        <is>
          <t>Deleted</t>
        </is>
      </c>
      <c r="K10" s="1" t="inlineStr">
        <is>
          <t>none</t>
        </is>
      </c>
      <c r="L10" s="1" t="inlineStr">
        <is>
          <t>Not monetary</t>
        </is>
      </c>
      <c r="M10" s="1" t="inlineStr">
        <is>
          <t>Zero means no matching persisted records; unavailable is null</t>
        </is>
      </c>
      <c r="N10" s="1" t="inlineStr">
        <is>
          <t>2026-10-24.1</t>
        </is>
      </c>
    </row>
    <row r="11" customHeight="1" ht="34.0">
      <c r="A11" s="2" t="n">
        <v>5.0</v>
      </c>
      <c r="B11" s="1" t="inlineStr">
        <is>
          <t>totalGuests</t>
        </is>
      </c>
      <c r="C11" s="1" t="inlineStr">
        <is>
          <t>ភ្ញៀវមានសិទ្ធិ</t>
        </is>
      </c>
      <c r="D11" s="1" t="inlineStr">
        <is>
          <t>Eligible invited guests</t>
        </is>
      </c>
      <c r="E11" s="1" t="inlineStr">
        <is>
          <t>Eligible invited guests</t>
        </is>
      </c>
      <c r="F11" s="1" t="inlineStr">
        <is>
          <t>COUNT persisted guest identities in filtered nondeleted event cohort</t>
        </is>
      </c>
      <c r="G11" s="1" t="inlineStr">
        <is>
          <t>guests JOIN invitations</t>
        </is>
      </c>
      <c r="H11" s="1" t="inlineStr">
        <is>
          <t>Selected invitation cohort, current guest snapshot</t>
        </is>
      </c>
      <c r="I11" s="1" t="inlineStr">
        <is>
          <t>Persisted guest identities</t>
        </is>
      </c>
      <c r="J11" s="1" t="inlineStr">
        <is>
          <t>Deleted events</t>
        </is>
      </c>
      <c r="K11" s="1" t="inlineStr">
        <is>
          <t>none</t>
        </is>
      </c>
      <c r="L11" s="1" t="inlineStr">
        <is>
          <t>Not monetary</t>
        </is>
      </c>
      <c r="M11" s="1" t="inlineStr">
        <is>
          <t>Zero means no matching persisted records; unavailable is null</t>
        </is>
      </c>
      <c r="N11" s="1" t="inlineStr">
        <is>
          <t>2026-10-24.1</t>
        </is>
      </c>
    </row>
    <row r="12" customHeight="1" ht="34.0">
      <c r="A12" s="2" t="n">
        <v>6.0</v>
      </c>
      <c r="B12" s="1" t="inlineStr">
        <is>
          <t>totalCheckIns</t>
        </is>
      </c>
      <c r="C12" s="1" t="inlineStr">
        <is>
          <t>ភ្ញៀវបានចូល</t>
        </is>
      </c>
      <c r="D12" s="1" t="inlineStr">
        <is>
          <t>Checked-in guests</t>
        </is>
      </c>
      <c r="E12" s="1" t="inlineStr">
        <is>
          <t>Checked-in guests</t>
        </is>
      </c>
      <c r="F12" s="1" t="inlineStr">
        <is>
          <t>COUNT DISTINCT guest_id per event WHERE is_active=true</t>
        </is>
      </c>
      <c r="G12" s="1" t="inlineStr">
        <is>
          <t>guest_check_ins JOIN guests ON guest_id AND invitation_id</t>
        </is>
      </c>
      <c r="H12" s="1" t="inlineStr">
        <is>
          <t>Selected invitation cohort, current check-in snapshot</t>
        </is>
      </c>
      <c r="I12" s="1" t="inlineStr">
        <is>
          <t>Active matching guest and invitation</t>
        </is>
      </c>
      <c r="J12" s="1" t="inlineStr">
        <is>
          <t>Undone, cross-invitation and duplicate check-ins</t>
        </is>
      </c>
      <c r="K12" s="1" t="inlineStr">
        <is>
          <t>none</t>
        </is>
      </c>
      <c r="L12" s="1" t="inlineStr">
        <is>
          <t>Not monetary</t>
        </is>
      </c>
      <c r="M12" s="1" t="inlineStr">
        <is>
          <t>Zero means no matching persisted records; unavailable is null</t>
        </is>
      </c>
      <c r="N12" s="1" t="inlineStr">
        <is>
          <t>2026-10-24.1</t>
        </is>
      </c>
    </row>
    <row r="13" customHeight="1" ht="34.0">
      <c r="A13" s="2" t="n">
        <v>7.0</v>
      </c>
      <c r="B13" s="1" t="inlineStr">
        <is>
          <t>templateUsage</t>
        </is>
      </c>
      <c r="C13" s="1" t="inlineStr">
        <is>
          <t>ការប្រើគំរូ</t>
        </is>
      </c>
      <c r="D13" s="1" t="inlineStr">
        <is>
          <t>Template usage</t>
        </is>
      </c>
      <c r="E13" s="1" t="inlineStr">
        <is>
          <t>Nondeleted invitations created in period using template</t>
        </is>
      </c>
      <c r="F13" s="1" t="inlineStr">
        <is>
          <t>COUNT invitation_id GROUP BY template_id</t>
        </is>
      </c>
      <c r="G13" s="1" t="inlineStr">
        <is>
          <t>invitations</t>
        </is>
      </c>
      <c r="H13" s="1" t="inlineStr">
        <is>
          <t>createdAt</t>
        </is>
      </c>
      <c r="I13" s="1" t="inlineStr">
        <is>
          <t>Nondeleted</t>
        </is>
      </c>
      <c r="J13" s="1" t="inlineStr">
        <is>
          <t>Deleted</t>
        </is>
      </c>
      <c r="K13" s="1" t="inlineStr">
        <is>
          <t>none</t>
        </is>
      </c>
      <c r="L13" s="1" t="inlineStr">
        <is>
          <t>Purchase receipts separated by currency</t>
        </is>
      </c>
      <c r="M13" s="1" t="inlineStr">
        <is>
          <t>Conversion unavailable without persisted view denominator</t>
        </is>
      </c>
      <c r="N13" s="1" t="inlineStr">
        <is>
          <t>2026-10-24.1</t>
        </is>
      </c>
    </row>
    <row r="14" customHeight="1" ht="34.0">
      <c r="A14" s="2" t="n">
        <v>8.0</v>
      </c>
      <c r="B14" s="1" t="inlineStr">
        <is>
          <t>templateReceipts</t>
        </is>
      </c>
      <c r="C14" s="1" t="inlineStr">
        <is>
          <t>ប្រាក់ទទួលពីគំរូ</t>
        </is>
      </c>
      <c r="D14" s="1" t="inlineStr">
        <is>
          <t>Verified template receipts</t>
        </is>
      </c>
      <c r="E14" s="1" t="inlineStr">
        <is>
          <t>Template portion of confirmed receipts</t>
        </is>
      </c>
      <c r="F14" s="1" t="inlineStr">
        <is>
          <t>SUM confirmedReceipt WHERE productType=TEMPLATE GROUP BY currency</t>
        </is>
      </c>
      <c r="G14" s="1" t="inlineStr">
        <is>
          <t>Unified payment ledger</t>
        </is>
      </c>
      <c r="H14" s="1" t="inlineStr">
        <is>
          <t>paidAt for executive; selected dimension for ledger</t>
        </is>
      </c>
      <c r="I14" s="1" t="inlineStr">
        <is>
          <t>MATCHED TEMPLATE</t>
        </is>
      </c>
      <c r="J14" s="1" t="inlineStr">
        <is>
          <t>Nonmatched / subscriptions</t>
        </is>
      </c>
      <c r="K14" s="1" t="inlineStr">
        <is>
          <t>none</t>
        </is>
      </c>
      <c r="L14" s="1" t="inlineStr">
        <is>
          <t>USD/KHR separate</t>
        </is>
      </c>
      <c r="M14" s="1" t="inlineStr">
        <is>
          <t>Never use expected or claimant amount</t>
        </is>
      </c>
      <c r="N14" s="1" t="inlineStr">
        <is>
          <t>2026-10-24.1</t>
        </is>
      </c>
    </row>
    <row r="15" customHeight="1" ht="34.0">
      <c r="A15" s="2" t="n">
        <v>9.0</v>
      </c>
      <c r="B15" s="1" t="inlineStr">
        <is>
          <t>systemHealth</t>
        </is>
      </c>
      <c r="C15" s="1" t="inlineStr">
        <is>
          <t>ព្រឹត្តិការណ៍ប្រព័ន្ធ</t>
        </is>
      </c>
      <c r="D15" s="1" t="inlineStr">
        <is>
          <t>Persisted operational events</t>
        </is>
      </c>
      <c r="E15" s="1" t="inlineStr">
        <is>
          <t>Audit actions plus notification/payment exceptions; sanitized</t>
        </is>
      </c>
      <c r="F15" s="1" t="inlineStr">
        <is>
          <t>Count persisted projected events</t>
        </is>
      </c>
      <c r="G15" s="1" t="inlineStr">
        <is>
          <t>system_audit_logs, notifications, unified payment exceptions</t>
        </is>
      </c>
      <c r="H15" s="1" t="inlineStr">
        <is>
          <t>createdAt / exception record date</t>
        </is>
      </c>
      <c r="I15" s="1" t="inlineStr">
        <is>
          <t>Persisted records</t>
        </is>
      </c>
      <c r="J15" s="1" t="inlineStr">
        <is>
          <t>Unpersisted failures and raw evidence</t>
        </is>
      </c>
      <c r="K15" s="1" t="inlineStr">
        <is>
          <t>none</t>
        </is>
      </c>
      <c r="L15" s="1" t="inlineStr">
        <is>
          <t>No financial aggregation</t>
        </is>
      </c>
      <c r="M15" s="1" t="inlineStr">
        <is>
          <t>Uptime and unpersisted API failures unavailable</t>
        </is>
      </c>
      <c r="N15" s="1" t="inlineStr">
        <is>
          <t>2026-10-24.1</t>
        </is>
      </c>
    </row>
    <row r="16" customHeight="1" ht="34.0">
      <c r="A16" s="2" t="n">
        <v>10.0</v>
      </c>
      <c r="B16" s="1" t="inlineStr">
        <is>
          <t>subscriptionReceipts</t>
        </is>
      </c>
      <c r="C16" s="1" t="inlineStr">
        <is>
          <t>ប្រាក់ទទួលពីសមាជិកភាព</t>
        </is>
      </c>
      <c r="D16" s="1" t="inlineStr">
        <is>
          <t>Verified subscription receipts</t>
        </is>
      </c>
      <c r="E16" s="1" t="inlineStr">
        <is>
          <t>Subscription portion of confirmed receipts counted once</t>
        </is>
      </c>
      <c r="F16" s="1" t="inlineStr">
        <is>
          <t>SUM confirmedReceipt WHERE productType=SUBSCRIPTION GROUP BY currency</t>
        </is>
      </c>
      <c r="G16" s="1" t="inlineStr">
        <is>
          <t>Unified payment ledger</t>
        </is>
      </c>
      <c r="H16" s="1" t="inlineStr">
        <is>
          <t>paidAt for executive; selected dimension for ledger</t>
        </is>
      </c>
      <c r="I16" s="1" t="inlineStr">
        <is>
          <t>MATCHED SUBSCRIPTION</t>
        </is>
      </c>
      <c r="J16" s="1" t="inlineStr">
        <is>
          <t>Nonmatched / templates</t>
        </is>
      </c>
      <c r="K16" s="1" t="inlineStr">
        <is>
          <t>none</t>
        </is>
      </c>
      <c r="L16" s="1" t="inlineStr">
        <is>
          <t>USD/KHR separate</t>
        </is>
      </c>
      <c r="M16" s="1" t="inlineStr">
        <is>
          <t>Free entitlement does not imply payment</t>
        </is>
      </c>
      <c r="N16" s="1" t="inlineStr">
        <is>
          <t>2026-10-24.1</t>
        </is>
      </c>
    </row>
    <row r="17" customHeight="1" ht="34.0">
      <c r="A17" s="2" t="n">
        <v>11.0</v>
      </c>
      <c r="B17" s="1" t="inlineStr">
        <is>
          <t>rsvpRate</t>
        </is>
      </c>
      <c r="C17" s="1" t="inlineStr">
        <is>
          <t>អត្រាឆ្លើយតប</t>
        </is>
      </c>
      <c r="D17" s="1" t="inlineStr">
        <is>
          <t>RSVP response rate</t>
        </is>
      </c>
      <c r="E17" s="1" t="inlineStr">
        <is>
          <t>Distinct eligible guest-linked responses</t>
        </is>
      </c>
      <c r="F17" s="1" t="inlineStr">
        <is>
          <t>distinct responded guest_id / guests; fraction 0..1</t>
        </is>
      </c>
      <c r="G17" s="1" t="inlineStr">
        <is>
          <t>guests + rsvps joined by invitation_id AND guest_id</t>
        </is>
      </c>
      <c r="H17" s="1" t="inlineStr">
        <is>
          <t>Invitation cohort; current response snapshot</t>
        </is>
      </c>
      <c r="I17" s="1" t="inlineStr">
        <is>
          <t>Latest guest-linked ATTENDING, NOT_ATTENDING, MAYBE</t>
        </is>
      </c>
      <c r="J17" s="1" t="inlineStr">
        <is>
          <t>Anonymous / cross-invitation responses</t>
        </is>
      </c>
      <c r="K17" s="1" t="inlineStr">
        <is>
          <t>Persisted guests in invitation</t>
        </is>
      </c>
      <c r="L17" s="1" t="inlineStr">
        <is>
          <t>Not monetary</t>
        </is>
      </c>
      <c r="M17" s="1" t="inlineStr">
        <is>
          <t>Null if no eligible guests</t>
        </is>
      </c>
      <c r="N17" s="1" t="inlineStr">
        <is>
          <t>2026-10-24.1</t>
        </is>
      </c>
    </row>
    <row r="18" customHeight="1" ht="34.0">
      <c r="A18" s="2" t="n">
        <v>12.0</v>
      </c>
      <c r="B18" s="1" t="inlineStr">
        <is>
          <t>publishedRate</t>
        </is>
      </c>
      <c r="C18" s="1" t="inlineStr">
        <is>
          <t>អត្រាផ្សាយ</t>
        </is>
      </c>
      <c r="D18" s="1" t="inlineStr">
        <is>
          <t>Published rate</t>
        </is>
      </c>
      <c r="E18" s="1" t="inlineStr">
        <is>
          <t>Current published state of filtered nondeleted invitation cohort</t>
        </is>
      </c>
      <c r="F18" s="1" t="inlineStr">
        <is>
          <t>published / total; stored fraction 0..1</t>
        </is>
      </c>
      <c r="G18" s="1" t="inlineStr">
        <is>
          <t>invitations</t>
        </is>
      </c>
      <c r="H18" s="1" t="inlineStr">
        <is>
          <t>createdAt, eventDate or publishedAt</t>
        </is>
      </c>
      <c r="I18" s="1" t="inlineStr">
        <is>
          <t>PUBLISHED numerator; all nondeleted cohort denominator</t>
        </is>
      </c>
      <c r="J18" s="1" t="inlineStr">
        <is>
          <t>Deleted invitations</t>
        </is>
      </c>
      <c r="K18" s="1" t="inlineStr">
        <is>
          <t>Filtered invitations</t>
        </is>
      </c>
      <c r="L18" s="1" t="inlineStr">
        <is>
          <t>Not monetary</t>
        </is>
      </c>
      <c r="M18" s="1" t="inlineStr">
        <is>
          <t>Null if denominator zero</t>
        </is>
      </c>
      <c r="N18" s="1" t="inlineStr">
        <is>
          <t>2026-10-24.1</t>
        </is>
      </c>
    </row>
    <row r="19" customHeight="1" ht="34.0">
      <c r="A19" s="2" t="n">
        <v>13.0</v>
      </c>
      <c r="B19" s="1" t="inlineStr">
        <is>
          <t>publishedInvitations</t>
        </is>
      </c>
      <c r="C19" s="1" t="inlineStr">
        <is>
          <t>ធៀបការបានផ្សាយ</t>
        </is>
      </c>
      <c r="D19" s="1" t="inlineStr">
        <is>
          <t>Published invitations</t>
        </is>
      </c>
      <c r="E19" s="1" t="inlineStr">
        <is>
          <t>Published invitations</t>
        </is>
      </c>
      <c r="F19" s="1" t="inlineStr">
        <is>
          <t>COUNT status=PUBLISHED</t>
        </is>
      </c>
      <c r="G19" s="1" t="inlineStr">
        <is>
          <t>invitations</t>
        </is>
      </c>
      <c r="H19" s="1" t="inlineStr">
        <is>
          <t>Selected invitation dimension</t>
        </is>
      </c>
      <c r="I19" s="1" t="inlineStr">
        <is>
          <t>PUBLISHED</t>
        </is>
      </c>
      <c r="J19" s="1" t="inlineStr">
        <is>
          <t>Deleted / other publication states</t>
        </is>
      </c>
      <c r="K19" s="1" t="inlineStr">
        <is>
          <t>none</t>
        </is>
      </c>
      <c r="L19" s="1" t="inlineStr">
        <is>
          <t>Not monetary</t>
        </is>
      </c>
      <c r="M19" s="1" t="inlineStr">
        <is>
          <t>Zero means no matching persisted records; unavailable is null</t>
        </is>
      </c>
      <c r="N19" s="1" t="inlineStr">
        <is>
          <t>2026-10-24.1</t>
        </is>
      </c>
    </row>
    <row r="20" customHeight="1" ht="34.0">
      <c r="A20" s="2" t="n">
        <v>14.0</v>
      </c>
      <c r="B20" s="1" t="inlineStr">
        <is>
          <t>previousPeriodEvents</t>
        </is>
      </c>
      <c r="C20" s="1" t="inlineStr">
        <is>
          <t>ធៀបការរយៈពេលមុន</t>
        </is>
      </c>
      <c r="D20" s="1" t="inlineStr">
        <is>
          <t>Previous-period invitations</t>
        </is>
      </c>
      <c r="E20" s="1" t="inlineStr">
        <is>
          <t>Previous-period invitations</t>
        </is>
      </c>
      <c r="F20" s="1" t="inlineStr">
        <is>
          <t>COUNT nondeleted invitations in preceding equal calendar-day interval</t>
        </is>
      </c>
      <c r="G20" s="1" t="inlineStr">
        <is>
          <t>invitations</t>
        </is>
      </c>
      <c r="H20" s="1" t="inlineStr">
        <is>
          <t>createdAt</t>
        </is>
      </c>
      <c r="I20" s="1" t="inlineStr">
        <is>
          <t>Nondeleted</t>
        </is>
      </c>
      <c r="J20" s="1" t="inlineStr">
        <is>
          <t>Deleted</t>
        </is>
      </c>
      <c r="K20" s="1" t="inlineStr">
        <is>
          <t>none</t>
        </is>
      </c>
      <c r="L20" s="1" t="inlineStr">
        <is>
          <t>Not monetary</t>
        </is>
      </c>
      <c r="M20" s="1" t="inlineStr">
        <is>
          <t>Zero means no matching persisted records; unavailable is null</t>
        </is>
      </c>
      <c r="N20" s="1" t="inlineStr">
        <is>
          <t>2026-10-24.1</t>
        </is>
      </c>
    </row>
    <row r="21" customHeight="1" ht="34.0">
      <c r="A21" s="2" t="n">
        <v>15.0</v>
      </c>
      <c r="B21" s="1" t="inlineStr">
        <is>
          <t>periodGrowth</t>
        </is>
      </c>
      <c r="C21" s="1" t="inlineStr">
        <is>
          <t>កំណើនតាមរយៈពេល</t>
        </is>
      </c>
      <c r="D21" s="1" t="inlineStr">
        <is>
          <t>Comparable-period growth</t>
        </is>
      </c>
      <c r="E21" s="1" t="inlineStr">
        <is>
          <t>Event creation in selected interval versus immediately preceding interval of equal calendar days</t>
        </is>
      </c>
      <c r="F21" s="1" t="inlineStr">
        <is>
          <t>(current-previous)/previous; fraction scale, may exceed 1</t>
        </is>
      </c>
      <c r="G21" s="1" t="inlineStr">
        <is>
          <t>invitations</t>
        </is>
      </c>
      <c r="H21" s="1" t="inlineStr">
        <is>
          <t>createdAt in Phnom Penh calendar windows</t>
        </is>
      </c>
      <c r="I21" s="1" t="inlineStr">
        <is>
          <t>Nondeleted invitations</t>
        </is>
      </c>
      <c r="J21" s="1" t="inlineStr">
        <is>
          <t>Deleted invitations</t>
        </is>
      </c>
      <c r="K21" s="1" t="inlineStr">
        <is>
          <t>Previous interval count</t>
        </is>
      </c>
      <c r="L21" s="1" t="inlineStr">
        <is>
          <t>Not monetary</t>
        </is>
      </c>
      <c r="M21" s="1" t="inlineStr">
        <is>
          <t>Null; NEW_ACTIVITY when prior=0 and current&gt;0, NO_ACTIVITY when both=0</t>
        </is>
      </c>
      <c r="N21" s="1" t="inlineStr">
        <is>
          <t>2026-10-24.1</t>
        </is>
      </c>
    </row>
    <row r="22" customHeight="1" ht="34.0">
      <c r="A22" s="2" t="n">
        <v>16.0</v>
      </c>
      <c r="B22" s="1" t="inlineStr">
        <is>
          <t>pendingOrderValue</t>
        </is>
      </c>
      <c r="C22" s="1" t="inlineStr">
        <is>
          <t>តម្លៃបញ្ជាទិញរង់ចាំ</t>
        </is>
      </c>
      <c r="D22" s="1" t="inlineStr">
        <is>
          <t>Pending order value</t>
        </is>
      </c>
      <c r="E22" s="1" t="inlineStr">
        <is>
          <t>Expected value, not cash</t>
        </is>
      </c>
      <c r="F22" s="1" t="inlineStr">
        <is>
          <t>SUM(expected_amount) for pending/review records GROUP BY currency</t>
        </is>
      </c>
      <c r="G22" s="1" t="inlineStr">
        <is>
          <t>Unified payment ledger</t>
        </is>
      </c>
      <c r="H22" s="1" t="inlineStr">
        <is>
          <t>Selected payment dimension</t>
        </is>
      </c>
      <c r="I22" s="1" t="inlineStr">
        <is>
          <t>PENDING, QR_CREATED, CHECKOUT_CREATED, PAID_PENDING_REVIEW, REVIEW_REQUIRED</t>
        </is>
      </c>
      <c r="J22" s="1" t="inlineStr">
        <is>
          <t>PAID, failed/rejected/expired/cancelled</t>
        </is>
      </c>
      <c r="K22" s="1" t="inlineStr">
        <is>
          <t>none</t>
        </is>
      </c>
      <c r="L22" s="1" t="inlineStr">
        <is>
          <t>Separated</t>
        </is>
      </c>
      <c r="M22" s="1" t="inlineStr">
        <is>
          <t>Unknown currency never becomes USD</t>
        </is>
      </c>
      <c r="N22" s="1" t="inlineStr">
        <is>
          <t>2026-10-24.1</t>
        </is>
      </c>
    </row>
    <row r="23" customHeight="1" ht="34.0">
      <c r="A23" s="2" t="n">
        <v>17.0</v>
      </c>
      <c r="B23" s="1" t="inlineStr">
        <is>
          <t>paidUsers</t>
        </is>
      </c>
      <c r="C23" s="1" t="inlineStr">
        <is>
          <t>គណនីមានប្រាក់ទទួលបានផ្ទៀងផ្ទាត់</t>
        </is>
      </c>
      <c r="D23" s="1" t="inlineStr">
        <is>
          <t>Accounts with positive verified receipts</t>
        </is>
      </c>
      <c r="E23" s="1" t="inlineStr">
        <is>
          <t>Payment classification of the selected registration cohort; not an entitlement/free-plan label</t>
        </is>
      </c>
      <c r="F23" s="1" t="inlineStr">
        <is>
          <t>COUNT users with at least one lifetime MATCHED order with confirmedReceipt&gt;0; noVerifiedReceiptUsers is the complementary cohort count</t>
        </is>
      </c>
      <c r="G23" s="1" t="inlineStr">
        <is>
          <t>users LEFT JOIN unified matched payment ledger</t>
        </is>
      </c>
      <c r="H23" s="1" t="inlineStr">
        <is>
          <t>User registration cohort; lifetime verified purchase history</t>
        </is>
      </c>
      <c r="I23" s="1" t="inlineStr">
        <is>
          <t>Nondeleted accounts; positive trusted matched cash</t>
        </is>
      </c>
      <c r="J23" s="1" t="inlineStr">
        <is>
          <t>Zero-value orders, free entitlement alone, pending, duplicate and unverified payment claims</t>
        </is>
      </c>
      <c r="K23" s="1" t="inlineStr">
        <is>
          <t>none</t>
        </is>
      </c>
      <c r="L23" s="1" t="inlineStr">
        <is>
          <t>Positive receipt in either explicit currency; no currency amounts added</t>
        </is>
      </c>
      <c r="M23" s="1" t="inlineStr">
        <is>
          <t>No positive verified receipt does not prove a free plan or absence of unverified claims</t>
        </is>
      </c>
      <c r="N23" s="1" t="inlineStr">
        <is>
          <t>2026-10-24.1</t>
        </is>
      </c>
    </row>
    <row r="24" customHeight="1" ht="34.0">
      <c r="A24" s="2" t="n">
        <v>18.0</v>
      </c>
      <c r="B24" s="1" t="inlineStr">
        <is>
          <t>newRegistrations</t>
        </is>
      </c>
      <c r="C24" s="1" t="inlineStr">
        <is>
          <t>ចុះឈ្មោះថ្មី</t>
        </is>
      </c>
      <c r="D24" s="1" t="inlineStr">
        <is>
          <t>New registrations</t>
        </is>
      </c>
      <c r="E24" s="1" t="inlineStr">
        <is>
          <t>Nondeleted users registered in period</t>
        </is>
      </c>
      <c r="F24" s="1" t="inlineStr">
        <is>
          <t>COUNT users in [from,to)</t>
        </is>
      </c>
      <c r="G24" s="1" t="inlineStr">
        <is>
          <t>users</t>
        </is>
      </c>
      <c r="H24" s="1" t="inlineStr">
        <is>
          <t>createdAt</t>
        </is>
      </c>
      <c r="I24" s="1" t="inlineStr">
        <is>
          <t>Nondeleted</t>
        </is>
      </c>
      <c r="J24" s="1" t="inlineStr">
        <is>
          <t>Deleted</t>
        </is>
      </c>
      <c r="K24" s="1" t="inlineStr">
        <is>
          <t>none</t>
        </is>
      </c>
      <c r="L24" s="1" t="inlineStr">
        <is>
          <t>Not monetary</t>
        </is>
      </c>
      <c r="M24" s="1" t="inlineStr">
        <is>
          <t>Zero means no matching registrations</t>
        </is>
      </c>
      <c r="N24" s="1" t="inlineStr">
        <is>
          <t>2026-10-24.1</t>
        </is>
      </c>
    </row>
    <row r="25" customHeight="1" ht="34.0">
      <c r="A25" s="2" t="n">
        <v>19.0</v>
      </c>
      <c r="B25" s="1" t="inlineStr">
        <is>
          <t>inactiveUsers</t>
        </is>
      </c>
      <c r="C25" s="1" t="inlineStr">
        <is>
          <t>គណនីបិទ</t>
        </is>
      </c>
      <c r="D25" s="1" t="inlineStr">
        <is>
          <t>Disabled accounts</t>
        </is>
      </c>
      <c r="E25" s="1" t="inlineStr">
        <is>
          <t>Disabled accounts</t>
        </is>
      </c>
      <c r="F25" s="1" t="inlineStr">
        <is>
          <t>Nondeleted total minus enabled accounts</t>
        </is>
      </c>
      <c r="G25" s="1" t="inlineStr">
        <is>
          <t>users</t>
        </is>
      </c>
      <c r="H25" s="1" t="inlineStr">
        <is>
          <t>Generation snapshot</t>
        </is>
      </c>
      <c r="I25" s="1" t="inlineStr">
        <is>
          <t>Non-ACTIVE</t>
        </is>
      </c>
      <c r="J25" s="1" t="inlineStr">
        <is>
          <t>Deleted</t>
        </is>
      </c>
      <c r="K25" s="1" t="inlineStr">
        <is>
          <t>none</t>
        </is>
      </c>
      <c r="L25" s="1" t="inlineStr">
        <is>
          <t>Not monetary</t>
        </is>
      </c>
      <c r="M25" s="1" t="inlineStr">
        <is>
          <t>Zero means no matching persisted records; unavailable is null</t>
        </is>
      </c>
      <c r="N25" s="1" t="inlineStr">
        <is>
          <t>2026-10-24.1</t>
        </is>
      </c>
    </row>
    <row r="26" customHeight="1" ht="34.0">
      <c r="A26" s="2" t="n">
        <v>20.0</v>
      </c>
      <c r="B26" s="1" t="inlineStr">
        <is>
          <t>failedValue</t>
        </is>
      </c>
      <c r="C26" s="1" t="inlineStr">
        <is>
          <t>តម្លៃបញ្ជាទិញបរាជ័យ</t>
        </is>
      </c>
      <c r="D26" s="1" t="inlineStr">
        <is>
          <t>Failed / rejected order value</t>
        </is>
      </c>
      <c r="E26" s="1" t="inlineStr">
        <is>
          <t>Expected value, not cash loss</t>
        </is>
      </c>
      <c r="F26" s="1" t="inlineStr">
        <is>
          <t>SUM expected_amount GROUP BY currency</t>
        </is>
      </c>
      <c r="G26" s="1" t="inlineStr">
        <is>
          <t>Unified payment ledger</t>
        </is>
      </c>
      <c r="H26" s="1" t="inlineStr">
        <is>
          <t>createdAt for executive; selected dimension for ledger</t>
        </is>
      </c>
      <c r="I26" s="1" t="inlineStr">
        <is>
          <t>FAILED, REJECTED, EXPIRED, CANCELLED</t>
        </is>
      </c>
      <c r="J26" s="1" t="inlineStr">
        <is>
          <t>PAID, pending and review</t>
        </is>
      </c>
      <c r="K26" s="1" t="inlineStr">
        <is>
          <t>none</t>
        </is>
      </c>
      <c r="L26" s="1" t="inlineStr">
        <is>
          <t>USD/KHR separate</t>
        </is>
      </c>
      <c r="M26" s="1" t="inlineStr">
        <is>
          <t>Unknown currency excluded from currency totals</t>
        </is>
      </c>
      <c r="N26" s="1" t="inlineStr">
        <is>
          <t>2026-10-24.1</t>
        </is>
      </c>
    </row>
    <row r="27" customHeight="1" ht="34.0">
      <c r="A27" s="2" t="n">
        <v>21.0</v>
      </c>
      <c r="B27" s="1" t="inlineStr">
        <is>
          <t>draftInvitations</t>
        </is>
      </c>
      <c r="C27" s="1" t="inlineStr">
        <is>
          <t>ធៀបការព្រាង</t>
        </is>
      </c>
      <c r="D27" s="1" t="inlineStr">
        <is>
          <t>Draft invitations</t>
        </is>
      </c>
      <c r="E27" s="1" t="inlineStr">
        <is>
          <t>Draft invitations</t>
        </is>
      </c>
      <c r="F27" s="1" t="inlineStr">
        <is>
          <t>COUNT status=DRAFT</t>
        </is>
      </c>
      <c r="G27" s="1" t="inlineStr">
        <is>
          <t>invitations</t>
        </is>
      </c>
      <c r="H27" s="1" t="inlineStr">
        <is>
          <t>Selected invitation dimension</t>
        </is>
      </c>
      <c r="I27" s="1" t="inlineStr">
        <is>
          <t>DRAFT</t>
        </is>
      </c>
      <c r="J27" s="1" t="inlineStr">
        <is>
          <t>Deleted / other publication states</t>
        </is>
      </c>
      <c r="K27" s="1" t="inlineStr">
        <is>
          <t>none</t>
        </is>
      </c>
      <c r="L27" s="1" t="inlineStr">
        <is>
          <t>Not monetary</t>
        </is>
      </c>
      <c r="M27" s="1" t="inlineStr">
        <is>
          <t>Zero means no matching persisted records; unavailable is null</t>
        </is>
      </c>
      <c r="N27" s="1" t="inlineStr">
        <is>
          <t>2026-10-24.1</t>
        </is>
      </c>
    </row>
    <row r="28" customHeight="1" ht="34.0">
      <c r="A28" s="2" t="n">
        <v>22.0</v>
      </c>
      <c r="B28" s="1" t="inlineStr">
        <is>
          <t>delivery</t>
        </is>
      </c>
      <c r="C28" s="1" t="inlineStr">
        <is>
          <t>ការផ្ញើ និងការបើក</t>
        </is>
      </c>
      <c r="D28" s="1" t="inlineStr">
        <is>
          <t>Recorded sends and opens</t>
        </is>
      </c>
      <c r="E28" s="1" t="inlineStr">
        <is>
          <t>Distinct guests with persisted last_sent_at / invitation_viewed_at</t>
        </is>
      </c>
      <c r="F28" s="1" t="inlineStr">
        <is>
          <t>COUNT guest identities with marker</t>
        </is>
      </c>
      <c r="G28" s="1" t="inlineStr">
        <is>
          <t>guests</t>
        </is>
      </c>
      <c r="H28" s="1" t="inlineStr">
        <is>
          <t>Selected invitation cohort; current markers</t>
        </is>
      </c>
      <c r="I28" s="1" t="inlineStr">
        <is>
          <t>Non-null persisted marker</t>
        </is>
      </c>
      <c r="J28" s="1" t="inlineStr">
        <is>
          <t>Client-only attempts</t>
        </is>
      </c>
      <c r="K28" s="1" t="inlineStr">
        <is>
          <t>Eligible guests</t>
        </is>
      </c>
      <c r="L28" s="1" t="inlineStr">
        <is>
          <t>Not monetary</t>
        </is>
      </c>
      <c r="M28" s="1" t="inlineStr">
        <is>
          <t>Confirmed delivered unavailable; send markers are not delivery receipts</t>
        </is>
      </c>
      <c r="N28" s="1" t="inlineStr">
        <is>
          <t>2026-10-24.1</t>
        </is>
      </c>
    </row>
    <row r="29" customHeight="1" ht="34.0">
      <c r="A29" s="2" t="n">
        <v>23.0</v>
      </c>
      <c r="B29" s="1" t="inlineStr">
        <is>
          <t>confirmedReceipts</t>
        </is>
      </c>
      <c r="C29" s="1" t="inlineStr">
        <is>
          <t>ប្រាក់ទទួលបានផ្ទៀងផ្ទាត់</t>
        </is>
      </c>
      <c r="D29" s="1" t="inlineStr">
        <is>
          <t>Verified cash receipts</t>
        </is>
      </c>
      <c r="E29" s="1" t="inlineStr">
        <is>
          <t>Matched, deduplicated platform receipts; not accounting revenue</t>
        </is>
      </c>
      <c r="F29" s="1" t="inlineStr">
        <is>
          <t>SUM(paid_amount) WHERE reconciliationOutcome=MATCHED GROUP BY currency</t>
        </is>
      </c>
      <c r="G29" s="1" t="inlineStr">
        <is>
          <t>template_payment_orders UNION subscriptions</t>
        </is>
      </c>
      <c r="H29" s="1" t="inlineStr">
        <is>
          <t>paidAt for executive; selected payment dimension for ledger</t>
        </is>
      </c>
      <c r="I29" s="1" t="inlineStr">
        <is>
          <t>PAID + trusted source + paid/confirmed timestamps + exact amount</t>
        </is>
      </c>
      <c r="J29" s="1" t="inlineStr">
        <is>
          <t>Pending, review, failed, duplicate, mismatch, unsupported currency, missing verification</t>
        </is>
      </c>
      <c r="K29" s="1" t="inlineStr">
        <is>
          <t>none</t>
        </is>
      </c>
      <c r="L29" s="1" t="inlineStr">
        <is>
          <t>USD and KHR separate; no FX</t>
        </is>
      </c>
      <c r="M29" s="1" t="inlineStr">
        <is>
          <t>Missing evidence is an exception; never substitute expected amount</t>
        </is>
      </c>
      <c r="N29" s="1" t="inlineStr">
        <is>
          <t>2026-10-24.1</t>
        </is>
      </c>
    </row>
    <row r="30" customHeight="1" ht="34.0">
      <c r="A30" s="2" t="n">
        <v>24.0</v>
      </c>
      <c r="B30" s="1" t="inlineStr">
        <is>
          <t>checkInRate</t>
        </is>
      </c>
      <c r="C30" s="1" t="inlineStr">
        <is>
          <t>អត្រាចូលរួម</t>
        </is>
      </c>
      <c r="D30" s="1" t="inlineStr">
        <is>
          <t>Check-in rate</t>
        </is>
      </c>
      <c r="E30" s="1" t="inlineStr">
        <is>
          <t>Distinct currently active checked-in guests</t>
        </is>
      </c>
      <c r="F30" s="1" t="inlineStr">
        <is>
          <t>distinct active guest_id / eligible guests; fraction 0..1</t>
        </is>
      </c>
      <c r="G30" s="1" t="inlineStr">
        <is>
          <t>guest_check_ins + guests</t>
        </is>
      </c>
      <c r="H30" s="1" t="inlineStr">
        <is>
          <t>Invitation cohort; current check-in snapshot</t>
        </is>
      </c>
      <c r="I30" s="1" t="inlineStr">
        <is>
          <t>is_active=true with matching invitation and guest</t>
        </is>
      </c>
      <c r="J30" s="1" t="inlineStr">
        <is>
          <t>Undone, duplicate and cross-invitation check-ins</t>
        </is>
      </c>
      <c r="K30" s="1" t="inlineStr">
        <is>
          <t>Persisted guests in invitation</t>
        </is>
      </c>
      <c r="L30" s="1" t="inlineStr">
        <is>
          <t>Not monetary</t>
        </is>
      </c>
      <c r="M30" s="1" t="inlineStr">
        <is>
          <t>Null if no eligible guests</t>
        </is>
      </c>
      <c r="N30" s="1" t="inlineStr">
        <is>
          <t>2026-10-24.1</t>
        </is>
      </c>
    </row>
    <row r="31" customHeight="1" ht="34.0">
      <c r="A31" s="2" t="n">
        <v>25.0</v>
      </c>
      <c r="B31" s="1" t="inlineStr">
        <is>
          <t>archivedInvitations</t>
        </is>
      </c>
      <c r="C31" s="1" t="inlineStr">
        <is>
          <t>ធៀបការទុកបណ្ណសារ</t>
        </is>
      </c>
      <c r="D31" s="1" t="inlineStr">
        <is>
          <t>Archived invitations</t>
        </is>
      </c>
      <c r="E31" s="1" t="inlineStr">
        <is>
          <t>Archived invitations</t>
        </is>
      </c>
      <c r="F31" s="1" t="inlineStr">
        <is>
          <t>COUNT status=ARCHIVED</t>
        </is>
      </c>
      <c r="G31" s="1" t="inlineStr">
        <is>
          <t>invitations</t>
        </is>
      </c>
      <c r="H31" s="1" t="inlineStr">
        <is>
          <t>Selected invitation dimension</t>
        </is>
      </c>
      <c r="I31" s="1" t="inlineStr">
        <is>
          <t>ARCHIVED</t>
        </is>
      </c>
      <c r="J31" s="1" t="inlineStr">
        <is>
          <t>Deleted / other publication states</t>
        </is>
      </c>
      <c r="K31" s="1" t="inlineStr">
        <is>
          <t>none</t>
        </is>
      </c>
      <c r="L31" s="1" t="inlineStr">
        <is>
          <t>Not monetary</t>
        </is>
      </c>
      <c r="M31" s="1" t="inlineStr">
        <is>
          <t>Zero means no matching persisted records; unavailable is null</t>
        </is>
      </c>
      <c r="N31" s="1" t="inlineStr">
        <is>
          <t>2026-10-24.1</t>
        </is>
      </c>
    </row>
    <row r="32" customHeight="1" ht="34.0">
      <c r="A32" s="2" t="n">
        <v>26.0</v>
      </c>
      <c r="B32" s="1" t="inlineStr">
        <is>
          <t>activeUsers</t>
        </is>
      </c>
      <c r="C32" s="1" t="inlineStr">
        <is>
          <t>គណនីបានបើក</t>
        </is>
      </c>
      <c r="D32" s="1" t="inlineStr">
        <is>
          <t>Enabled accounts</t>
        </is>
      </c>
      <c r="E32" s="1" t="inlineStr">
        <is>
          <t>Enabled accounts</t>
        </is>
      </c>
      <c r="F32" s="1" t="inlineStr">
        <is>
          <t>COUNT status=ACTIVE AND deleted=false; not DAU</t>
        </is>
      </c>
      <c r="G32" s="1" t="inlineStr">
        <is>
          <t>users</t>
        </is>
      </c>
      <c r="H32" s="1" t="inlineStr">
        <is>
          <t>Generation snapshot</t>
        </is>
      </c>
      <c r="I32" s="1" t="inlineStr">
        <is>
          <t>ACTIVE</t>
        </is>
      </c>
      <c r="J32" s="1" t="inlineStr">
        <is>
          <t>Disabled/deleted</t>
        </is>
      </c>
      <c r="K32" s="1" t="inlineStr">
        <is>
          <t>none</t>
        </is>
      </c>
      <c r="L32" s="1" t="inlineStr">
        <is>
          <t>Not monetary</t>
        </is>
      </c>
      <c r="M32" s="1" t="inlineStr">
        <is>
          <t>Zero means no matching persisted records; unavailable is null</t>
        </is>
      </c>
      <c r="N32" s="1" t="inlineStr">
        <is>
          <t>2026-10-24.1</t>
        </is>
      </c>
    </row>
    <row r="33" customHeight="1" ht="34.0">
      <c r="A33" s="2" t="n">
        <v>27.0</v>
      </c>
      <c r="B33" s="1" t="inlineStr">
        <is>
          <t>activeSubscriptions</t>
        </is>
      </c>
      <c r="C33" s="1" t="inlineStr">
        <is>
          <t>សមាជិកភាពសកម្ម</t>
        </is>
      </c>
      <c r="D33" s="1" t="inlineStr">
        <is>
          <t>Effective active subscriptions</t>
        </is>
      </c>
      <c r="E33" s="1" t="inlineStr">
        <is>
          <t>Persisted active state with current validity window</t>
        </is>
      </c>
      <c r="F33" s="1" t="inlineStr">
        <is>
          <t>is_active AND status=ACTIVE AND start&lt;=asOf AND (end IS NULL OR end&gt;asOf)</t>
        </is>
      </c>
      <c r="G33" s="1" t="inlineStr">
        <is>
          <t>subscriptions</t>
        </is>
      </c>
      <c r="H33" s="1" t="inlineStr">
        <is>
          <t>Generation instant; activePeriod selects overlap</t>
        </is>
      </c>
      <c r="I33" s="1" t="inlineStr">
        <is>
          <t>ACTIVE within validity</t>
        </is>
      </c>
      <c r="J33" s="1" t="inlineStr">
        <is>
          <t>Expired, future, replaced and pending</t>
        </is>
      </c>
      <c r="K33" s="1" t="inlineStr">
        <is>
          <t>none</t>
        </is>
      </c>
      <c r="L33" s="1" t="inlineStr">
        <is>
          <t>Purchase receipts counted only in unified ledger</t>
        </is>
      </c>
      <c r="M33" s="1" t="inlineStr">
        <is>
          <t>Unknown transitions/renewals/upgrades/downgrades unavailable</t>
        </is>
      </c>
      <c r="N33" s="1" t="inlineStr">
        <is>
          <t>2026-10-24.1</t>
        </is>
      </c>
    </row>
    <row r="34" customHeight="1" ht="34.0">
      <c r="A34" s="2" t="n">
        <v>28.0</v>
      </c>
      <c r="B34" s="1" t="inlineStr">
        <is>
          <t>activeAccounts</t>
        </is>
      </c>
      <c r="C34" s="1" t="inlineStr">
        <is>
          <t>គណនីសកម្ម</t>
        </is>
      </c>
      <c r="D34" s="1" t="inlineStr">
        <is>
          <t>Enabled accounts</t>
        </is>
      </c>
      <c r="E34" s="1" t="inlineStr">
        <is>
          <t>Current ACTIVE, nondeleted accounts; not DAU</t>
        </is>
      </c>
      <c r="F34" s="1" t="inlineStr">
        <is>
          <t>COUNT users WHERE status=ACTIVE AND deleted=false</t>
        </is>
      </c>
      <c r="G34" s="1" t="inlineStr">
        <is>
          <t>users</t>
        </is>
      </c>
      <c r="H34" s="1" t="inlineStr">
        <is>
          <t>Generation snapshot</t>
        </is>
      </c>
      <c r="I34" s="1" t="inlineStr">
        <is>
          <t>ACTIVE</t>
        </is>
      </c>
      <c r="J34" s="1" t="inlineStr">
        <is>
          <t>DISABLED and deleted</t>
        </is>
      </c>
      <c r="K34" s="1" t="inlineStr">
        <is>
          <t>none</t>
        </is>
      </c>
      <c r="L34" s="1" t="inlineStr">
        <is>
          <t>Not monetary</t>
        </is>
      </c>
      <c r="M34" s="1" t="inlineStr">
        <is>
          <t>Activity timestamp/DAU unavailable</t>
        </is>
      </c>
      <c r="N34" s="1" t="inlineStr">
        <is>
          <t>2026-10-24.1</t>
        </is>
      </c>
    </row>
  </sheetData>
  <autoFilter ref="A6:N34"/>
  <mergeCells count="4">
    <mergeCell ref="A1:N1"/>
    <mergeCell ref="A2:N2"/>
    <mergeCell ref="A3:N3"/>
    <mergeCell ref="A4:N4"/>
  </mergeCells>
  <pageMargins bottom="0.75" footer="0.3" header="0.3" left="0.3" right="0.3" top="0.75"/>
  <pageSetup usePrinterDefaults="false" paperSize="9" orientation="landscape" fitToWidth="1" fitToHeight="0"/>
  <headerFooter>
    <oddFooter>&amp;C2026-10-15T10:00:00Z&amp;Ldictionary · Confidential&amp;RPage &amp;P / &amp;N</oddFooter>
  </headerFooter>
</worksheet>
</file>

<file path=xl/worksheets/sheet4.xml><?xml version="1.0" encoding="utf-8"?>
<worksheet xmlns="http://schemas.openxmlformats.org/spreadsheetml/2006/main">
  <dimension ref="A1:C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6.0" customWidth="true"/>
    <col min="3" max="3" width="90.0" customWidth="true"/>
  </cols>
  <sheetData>
    <row r="1">
      <c r="A1" s="1" t="inlineStr">
        <is>
          <t>payments</t>
        </is>
      </c>
      <c r="B1" s="1" t="inlineStr">
        <is>
          <t>Brand</t>
        </is>
      </c>
      <c r="C1" s="1" t="inlineStr">
        <is>
          <t>KoupReng E-Invitation</t>
        </is>
      </c>
    </row>
    <row r="2">
      <c r="A2" s="1" t="inlineStr">
        <is>
          <t>payments</t>
        </is>
      </c>
      <c r="B2" s="1" t="inlineStr">
        <is>
          <t>Report</t>
        </is>
      </c>
      <c r="C2" s="1" t="inlineStr">
        <is>
          <t>payments</t>
        </is>
      </c>
    </row>
    <row r="3">
      <c r="A3" s="1" t="inlineStr">
        <is>
          <t>payments</t>
        </is>
      </c>
      <c r="B3" s="1" t="inlineStr">
        <is>
          <t>Khmer title</t>
        </is>
      </c>
      <c r="C3" s="1" t="inlineStr">
        <is>
          <t>របាយការណ៍ចំណូល និងការទូទាត់</t>
        </is>
      </c>
    </row>
    <row r="4">
      <c r="A4" s="1" t="inlineStr">
        <is>
          <t>payments</t>
        </is>
      </c>
      <c r="B4" s="1" t="inlineStr">
        <is>
          <t>English title</t>
        </is>
      </c>
      <c r="C4" s="1" t="inlineStr">
        <is>
          <t>Financial transaction ledger</t>
        </is>
      </c>
    </row>
    <row r="5">
      <c r="A5" s="1" t="inlineStr">
        <is>
          <t>payments</t>
        </is>
      </c>
      <c r="B5" s="1" t="inlineStr">
        <is>
          <t>From (inclusive)</t>
        </is>
      </c>
      <c r="C5" s="1" t="inlineStr">
        <is>
          <t>2026-10-15</t>
        </is>
      </c>
    </row>
    <row r="6">
      <c r="A6" s="1" t="inlineStr">
        <is>
          <t>payments</t>
        </is>
      </c>
      <c r="B6" s="1" t="inlineStr">
        <is>
          <t>To (exclusive)</t>
        </is>
      </c>
      <c r="C6" s="1" t="inlineStr">
        <is>
          <t>2026-10-16</t>
        </is>
      </c>
    </row>
    <row r="7">
      <c r="A7" s="1" t="inlineStr">
        <is>
          <t>payments</t>
        </is>
      </c>
      <c r="B7" s="1" t="inlineStr">
        <is>
          <t>Date dimension</t>
        </is>
      </c>
      <c r="C7" s="1" t="inlineStr">
        <is>
          <t>activity</t>
        </is>
      </c>
    </row>
    <row r="8">
      <c r="A8" s="1" t="inlineStr">
        <is>
          <t>payments</t>
        </is>
      </c>
      <c r="B8" s="1" t="inlineStr">
        <is>
          <t>Timezone</t>
        </is>
      </c>
      <c r="C8" s="1" t="inlineStr">
        <is>
          <t>Asia/Phnom_Penh</t>
        </is>
      </c>
    </row>
    <row r="9">
      <c r="A9" s="1" t="inlineStr">
        <is>
          <t>payments</t>
        </is>
      </c>
      <c r="B9" s="1" t="inlineStr">
        <is>
          <t>Generated at</t>
        </is>
      </c>
      <c r="C9" s="1" t="inlineStr">
        <is>
          <t>2026-10-15T17:00+07:00[Asia/Phnom_Penh]</t>
        </is>
      </c>
    </row>
    <row r="10">
      <c r="A10" s="1" t="inlineStr">
        <is>
          <t>payments</t>
        </is>
      </c>
      <c r="B10" s="1" t="inlineStr">
        <is>
          <t>Snapshot ID</t>
        </is>
      </c>
      <c r="C10" s="1" t="inlineStr">
        <is>
          <t>currency-fixture</t>
        </is>
      </c>
    </row>
    <row r="11">
      <c r="A11" s="1" t="inlineStr">
        <is>
          <t>payments</t>
        </is>
      </c>
      <c r="B11" s="1" t="inlineStr">
        <is>
          <t>Scope</t>
        </is>
      </c>
      <c r="C11" s="1" t="inlineStr">
        <is>
          <t>ALL FILTERED RECORDS</t>
        </is>
      </c>
    </row>
    <row r="12">
      <c r="A12" s="1" t="inlineStr">
        <is>
          <t>payments</t>
        </is>
      </c>
      <c r="B12" s="1" t="inlineStr">
        <is>
          <t>Matching records</t>
        </is>
      </c>
      <c r="C12" s="2" t="n">
        <v>1.0</v>
      </c>
    </row>
    <row r="13">
      <c r="A13" s="1" t="inlineStr">
        <is>
          <t>payments</t>
        </is>
      </c>
      <c r="B13" s="1" t="inlineStr">
        <is>
          <t>Applied filters</t>
        </is>
      </c>
      <c r="C13" s="1" t="inlineStr">
        <is>
          <t>{currency=KHR}</t>
        </is>
      </c>
    </row>
    <row r="14">
      <c r="A14" s="1" t="inlineStr">
        <is>
          <t>payments</t>
        </is>
      </c>
      <c r="B14" s="1" t="inlineStr">
        <is>
          <t>Sort</t>
        </is>
      </c>
      <c r="C14" s="1" t="inlineStr">
        <is>
          <t>createdAt DESC</t>
        </is>
      </c>
    </row>
    <row r="15">
      <c r="A15" s="1" t="inlineStr">
        <is>
          <t>payments</t>
        </is>
      </c>
      <c r="B15" s="1" t="inlineStr">
        <is>
          <t>Units</t>
        </is>
      </c>
      <c r="C15" s="1" t="inlineStr">
        <is>
          <t>Counts / fractions; USD and KHR separate</t>
        </is>
      </c>
    </row>
    <row r="16">
      <c r="A16" s="1" t="inlineStr">
        <is>
          <t>payments</t>
        </is>
      </c>
      <c r="B16" s="1" t="inlineStr">
        <is>
          <t>Classification</t>
        </is>
      </c>
      <c r="C16" s="1" t="inlineStr">
        <is>
          <t>Confidential — authorized administrative use</t>
        </is>
      </c>
    </row>
    <row r="17">
      <c r="A17" s="1" t="inlineStr">
        <is>
          <t>payments</t>
        </is>
      </c>
      <c r="B17" s="1" t="inlineStr">
        <is>
          <t>Source</t>
        </is>
      </c>
      <c r="C17" s="1" t="inlineStr">
        <is>
          <t>System-generated persisted projections</t>
        </is>
      </c>
    </row>
    <row r="18">
      <c r="A18" s="1" t="inlineStr">
        <is>
          <t>payments</t>
        </is>
      </c>
      <c r="B18" s="1" t="inlineStr">
        <is>
          <t>Version</t>
        </is>
      </c>
      <c r="C18" s="1" t="inlineStr">
        <is>
          <t>2026-10-24.1</t>
        </is>
      </c>
    </row>
    <row r="19">
      <c r="A19" s="1" t="inlineStr">
        <is>
          <t>payments</t>
        </is>
      </c>
      <c r="B19" s="1" t="inlineStr">
        <is>
          <t>Note</t>
        </is>
      </c>
      <c r="C19" s="1" t="inlineStr">
        <is>
          <t>Receipts require PAID, known trusted confirmation source, paid/confirmed timestamps, recorded paid amount matching expected amount, USD/KHR, and no duplicate order/provider reference. Other records remain visible as exceptions.</t>
        </is>
      </c>
    </row>
    <row r="20">
      <c r="A20" s="1" t="inlineStr">
        <is>
          <t>payments</t>
        </is>
      </c>
      <c r="B20" s="1" t="inlineStr">
        <is>
          <t>Note</t>
        </is>
      </c>
      <c r="C20" s="1" t="inlineStr">
        <is>
          <t>activity uses PAID paidAt (missing date falls back to createdAt as an exception); other statuses use createdAt. No wedding gifts or unverified claimant amounts are included. Payment method is unavailable when not independently recorded.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2026-10-26T01:36:24Z</dcterms:created>
  <dc:creator>Apache POI</dc:creator>
</cp:coreProperties>
</file>