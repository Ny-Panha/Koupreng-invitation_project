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showInkAnnotation="0"/>
  <xr:revisionPtr revIDLastSave="0" documentId="11_9B0994058FEEBD3C38C51863CFE235F8B309C5C3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សង្ខេប" sheetId="1" r:id="rId1"/>
    <sheet name="វាយតម្លៃក្រុម" sheetId="2" r:id="rId2"/>
    <sheet name="តាមដានការងារ" sheetId="3" r:id="rId3"/>
    <sheet name="កំណត់ប្រជុំ" sheetId="4" r:id="rId4"/>
    <sheet name="ប្រវត្តិគម្រោង" sheetId="5" r:id="rId5"/>
    <sheet name="ភស្តុតាង GitHub" sheetId="6" r:id="rId6"/>
    <sheet name="QA-QC និងបញ្ហា" sheetId="7" r:id="rId7"/>
    <sheet name="ការងារសប្ដាហ៍នេះ" sheetId="8" r:id="rId8"/>
    <sheet name="ការងារសប្ដាហ៍ទី២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3" l="1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AM27" i="2"/>
  <c r="AO27" i="2"/>
  <c r="AN27" i="2"/>
  <c r="AL27" i="2"/>
  <c r="AK27" i="2"/>
  <c r="AJ27" i="2"/>
  <c r="AI27" i="2"/>
  <c r="AH27" i="2"/>
  <c r="AG27" i="2"/>
  <c r="AF27" i="2"/>
  <c r="AE27" i="2"/>
  <c r="AD27" i="2"/>
  <c r="S27" i="2"/>
  <c r="AC27" i="2"/>
  <c r="R27" i="2"/>
  <c r="Q27" i="2"/>
  <c r="AM26" i="2"/>
  <c r="AO26" i="2"/>
  <c r="AN26" i="2"/>
  <c r="AL26" i="2"/>
  <c r="AK26" i="2"/>
  <c r="AJ26" i="2"/>
  <c r="AI26" i="2"/>
  <c r="AH26" i="2"/>
  <c r="AG26" i="2"/>
  <c r="AF26" i="2"/>
  <c r="AE26" i="2"/>
  <c r="AD26" i="2"/>
  <c r="S26" i="2"/>
  <c r="AC26" i="2"/>
  <c r="R26" i="2"/>
  <c r="Q26" i="2"/>
  <c r="AM25" i="2"/>
  <c r="AO25" i="2"/>
  <c r="AN25" i="2"/>
  <c r="AL25" i="2"/>
  <c r="AK25" i="2"/>
  <c r="AJ25" i="2"/>
  <c r="AI25" i="2"/>
  <c r="AH25" i="2"/>
  <c r="AG25" i="2"/>
  <c r="AF25" i="2"/>
  <c r="AE25" i="2"/>
  <c r="AD25" i="2"/>
  <c r="S25" i="2"/>
  <c r="AC25" i="2"/>
  <c r="R25" i="2"/>
  <c r="Q25" i="2"/>
  <c r="AM24" i="2"/>
  <c r="AO24" i="2"/>
  <c r="AN24" i="2"/>
  <c r="AL24" i="2"/>
  <c r="AK24" i="2"/>
  <c r="AJ24" i="2"/>
  <c r="AI24" i="2"/>
  <c r="AH24" i="2"/>
  <c r="AG24" i="2"/>
  <c r="AF24" i="2"/>
  <c r="AE24" i="2"/>
  <c r="AD24" i="2"/>
  <c r="S24" i="2"/>
  <c r="AC24" i="2"/>
  <c r="R24" i="2"/>
  <c r="Q24" i="2"/>
  <c r="AM23" i="2"/>
  <c r="AO23" i="2"/>
  <c r="AN23" i="2"/>
  <c r="AL23" i="2"/>
  <c r="AK23" i="2"/>
  <c r="AJ23" i="2"/>
  <c r="AI23" i="2"/>
  <c r="AH23" i="2"/>
  <c r="AG23" i="2"/>
  <c r="AF23" i="2"/>
  <c r="AE23" i="2"/>
  <c r="AD23" i="2"/>
  <c r="S23" i="2"/>
  <c r="AC23" i="2"/>
  <c r="R23" i="2"/>
  <c r="Q23" i="2"/>
  <c r="AM22" i="2"/>
  <c r="AO22" i="2"/>
  <c r="AN22" i="2"/>
  <c r="AL22" i="2"/>
  <c r="AK22" i="2"/>
  <c r="AJ22" i="2"/>
  <c r="AI22" i="2"/>
  <c r="AH22" i="2"/>
  <c r="AG22" i="2"/>
  <c r="AF22" i="2"/>
  <c r="AE22" i="2"/>
  <c r="AD22" i="2"/>
  <c r="S22" i="2"/>
  <c r="AC22" i="2"/>
  <c r="R22" i="2"/>
  <c r="Q22" i="2"/>
  <c r="AM21" i="2"/>
  <c r="AO21" i="2"/>
  <c r="AN21" i="2"/>
  <c r="AL21" i="2"/>
  <c r="AK21" i="2"/>
  <c r="AJ21" i="2"/>
  <c r="AI21" i="2"/>
  <c r="AH21" i="2"/>
  <c r="AG21" i="2"/>
  <c r="AF21" i="2"/>
  <c r="AE21" i="2"/>
  <c r="AD21" i="2"/>
  <c r="S21" i="2"/>
  <c r="AC21" i="2"/>
  <c r="R21" i="2"/>
  <c r="Q21" i="2"/>
  <c r="AM20" i="2"/>
  <c r="AO20" i="2"/>
  <c r="AN20" i="2"/>
  <c r="AL20" i="2"/>
  <c r="AK20" i="2"/>
  <c r="AJ20" i="2"/>
  <c r="AI20" i="2"/>
  <c r="AH20" i="2"/>
  <c r="AG20" i="2"/>
  <c r="AF20" i="2"/>
  <c r="AE20" i="2"/>
  <c r="AD20" i="2"/>
  <c r="S20" i="2"/>
  <c r="AC20" i="2"/>
  <c r="R20" i="2"/>
  <c r="Q20" i="2"/>
  <c r="AM19" i="2"/>
  <c r="AO19" i="2"/>
  <c r="AN19" i="2"/>
  <c r="AL19" i="2"/>
  <c r="AK19" i="2"/>
  <c r="AJ19" i="2"/>
  <c r="AI19" i="2"/>
  <c r="AH19" i="2"/>
  <c r="AG19" i="2"/>
  <c r="AF19" i="2"/>
  <c r="AE19" i="2"/>
  <c r="AD19" i="2"/>
  <c r="S19" i="2"/>
  <c r="AC19" i="2"/>
  <c r="R19" i="2"/>
  <c r="Q19" i="2"/>
  <c r="AM18" i="2"/>
  <c r="AO18" i="2"/>
  <c r="AN18" i="2"/>
  <c r="AL18" i="2"/>
  <c r="AK18" i="2"/>
  <c r="AJ18" i="2"/>
  <c r="AI18" i="2"/>
  <c r="AH18" i="2"/>
  <c r="AG18" i="2"/>
  <c r="AF18" i="2"/>
  <c r="AE18" i="2"/>
  <c r="AD18" i="2"/>
  <c r="S18" i="2"/>
  <c r="AC18" i="2"/>
  <c r="R18" i="2"/>
  <c r="Q18" i="2"/>
  <c r="AM17" i="2"/>
  <c r="AO17" i="2"/>
  <c r="AN17" i="2"/>
  <c r="AL17" i="2"/>
  <c r="AK17" i="2"/>
  <c r="AJ17" i="2"/>
  <c r="AI17" i="2"/>
  <c r="AH17" i="2"/>
  <c r="AG17" i="2"/>
  <c r="AF17" i="2"/>
  <c r="AE17" i="2"/>
  <c r="AD17" i="2"/>
  <c r="S17" i="2"/>
  <c r="AC17" i="2"/>
  <c r="R17" i="2"/>
  <c r="Q17" i="2"/>
  <c r="AM16" i="2"/>
  <c r="AO16" i="2"/>
  <c r="AN16" i="2"/>
  <c r="AL16" i="2"/>
  <c r="AK16" i="2"/>
  <c r="AJ16" i="2"/>
  <c r="AI16" i="2"/>
  <c r="AH16" i="2"/>
  <c r="AG16" i="2"/>
  <c r="AF16" i="2"/>
  <c r="AE16" i="2"/>
  <c r="AD16" i="2"/>
  <c r="S16" i="2"/>
  <c r="AC16" i="2"/>
  <c r="R16" i="2"/>
  <c r="Q16" i="2"/>
  <c r="AM15" i="2"/>
  <c r="AO15" i="2"/>
  <c r="AN15" i="2"/>
  <c r="AL15" i="2"/>
  <c r="AK15" i="2"/>
  <c r="AJ15" i="2"/>
  <c r="AI15" i="2"/>
  <c r="AH15" i="2"/>
  <c r="AG15" i="2"/>
  <c r="AF15" i="2"/>
  <c r="AE15" i="2"/>
  <c r="AD15" i="2"/>
  <c r="S15" i="2"/>
  <c r="AC15" i="2"/>
  <c r="R15" i="2"/>
  <c r="Q15" i="2"/>
  <c r="AM14" i="2"/>
  <c r="AO14" i="2"/>
  <c r="AN14" i="2"/>
  <c r="AL14" i="2"/>
  <c r="AK14" i="2"/>
  <c r="AJ14" i="2"/>
  <c r="AI14" i="2"/>
  <c r="AH14" i="2"/>
  <c r="AG14" i="2"/>
  <c r="AF14" i="2"/>
  <c r="AE14" i="2"/>
  <c r="AD14" i="2"/>
  <c r="S14" i="2"/>
  <c r="AC14" i="2"/>
  <c r="R14" i="2"/>
  <c r="Q14" i="2"/>
  <c r="R13" i="2"/>
  <c r="S13" i="2"/>
  <c r="AD13" i="2"/>
  <c r="AM13" i="2"/>
  <c r="AD10" i="2"/>
  <c r="AJ10" i="2"/>
  <c r="AM10" i="2"/>
  <c r="AD11" i="2"/>
  <c r="AJ11" i="2"/>
  <c r="AK11" i="2"/>
  <c r="AL11" i="2"/>
  <c r="AM11" i="2"/>
  <c r="AO13" i="2"/>
  <c r="AN13" i="2"/>
  <c r="AL13" i="2"/>
  <c r="AK13" i="2"/>
  <c r="AJ13" i="2"/>
  <c r="AI13" i="2"/>
  <c r="AH13" i="2"/>
  <c r="AG13" i="2"/>
  <c r="AF13" i="2"/>
  <c r="AE13" i="2"/>
  <c r="AC13" i="2"/>
  <c r="Q13" i="2"/>
  <c r="R12" i="2"/>
  <c r="S12" i="2"/>
  <c r="AD12" i="2"/>
  <c r="AM12" i="2"/>
  <c r="AO12" i="2"/>
  <c r="AN12" i="2"/>
  <c r="AL12" i="2"/>
  <c r="AK12" i="2"/>
  <c r="AJ12" i="2"/>
  <c r="AI12" i="2"/>
  <c r="AH12" i="2"/>
  <c r="AG12" i="2"/>
  <c r="AF12" i="2"/>
  <c r="AE12" i="2"/>
  <c r="AC12" i="2"/>
  <c r="Q12" i="2"/>
  <c r="R11" i="2"/>
  <c r="S11" i="2"/>
  <c r="AO11" i="2"/>
  <c r="AN11" i="2"/>
  <c r="AI11" i="2"/>
  <c r="AH11" i="2"/>
  <c r="AG11" i="2"/>
  <c r="AF11" i="2"/>
  <c r="AE11" i="2"/>
  <c r="AC11" i="2"/>
  <c r="Q11" i="2"/>
  <c r="R10" i="2"/>
  <c r="S10" i="2"/>
  <c r="AO10" i="2"/>
  <c r="AN10" i="2"/>
  <c r="AL10" i="2"/>
  <c r="AK10" i="2"/>
  <c r="AI10" i="2"/>
  <c r="AH10" i="2"/>
  <c r="AG10" i="2"/>
  <c r="AF10" i="2"/>
  <c r="AE10" i="2"/>
  <c r="AC10" i="2"/>
  <c r="Q10" i="2"/>
  <c r="R9" i="2"/>
  <c r="S9" i="2"/>
  <c r="AD9" i="2"/>
  <c r="AM9" i="2"/>
  <c r="AO9" i="2"/>
  <c r="AN9" i="2"/>
  <c r="AL9" i="2"/>
  <c r="AK9" i="2"/>
  <c r="AJ9" i="2"/>
  <c r="AI9" i="2"/>
  <c r="AH9" i="2"/>
  <c r="AG9" i="2"/>
  <c r="AF9" i="2"/>
  <c r="AE9" i="2"/>
  <c r="AC9" i="2"/>
  <c r="Q9" i="2"/>
  <c r="R8" i="2"/>
  <c r="S8" i="2"/>
  <c r="AC8" i="2"/>
  <c r="AD8" i="2"/>
  <c r="AE8" i="2"/>
  <c r="AL8" i="2"/>
  <c r="AK8" i="2"/>
  <c r="AJ8" i="2"/>
  <c r="AI8" i="2"/>
  <c r="AH8" i="2"/>
  <c r="AG8" i="2"/>
  <c r="AF8" i="2"/>
  <c r="AM8" i="2"/>
  <c r="AO8" i="2"/>
  <c r="AN8" i="2"/>
  <c r="Q8" i="2"/>
  <c r="J6" i="1"/>
  <c r="H6" i="1"/>
  <c r="F6" i="1"/>
  <c r="D6" i="1"/>
</calcChain>
</file>

<file path=xl/sharedStrings.xml><?xml version="1.0" encoding="utf-8"?>
<sst xmlns="http://schemas.openxmlformats.org/spreadsheetml/2006/main" count="1719" uniqueCount="924">
  <si>
    <t>បែបបទត្រួតពិនិត្យ និងវាយតម្លៃការចូលរួមរបស់សមាជិកក្រុម</t>
  </si>
  <si>
    <t>ប្រព័ន្ធគ្រប់គ្រងលិខិតអញ្ចើញឌីជីថល (E-Invitation) — បែបបទសវនកម្មការចូលរួម ការបំពេញភារកិច្ច និងការវាយតម្លៃសមិទ្ធផលក្រុម</t>
  </si>
  <si>
    <t>គ្រប់ដំណើរការ ការងារ ការត្រួតពិនិត្យ QA/QC និងឯកសារ ត្រូវបញ្ចប់មិនលើសពីថ្ងៃទី ០១ ខែធ្នូ ឆ្នាំ ២០២៦</t>
  </si>
  <si>
    <t>ព័ត៌មានគម្រោង</t>
  </si>
  <si>
    <t>ចំនួនសមាជិក</t>
  </si>
  <si>
    <t>ពិន្ទុមធ្យមក្រុម</t>
  </si>
  <si>
    <t>ការងារសរុប</t>
  </si>
  <si>
    <t>អត្រាបញ្ចប់</t>
  </si>
  <si>
    <t>ថ្ងៃចាប់ផ្តើមត្រួតពិនិត្យ</t>
  </si>
  <si>
    <t>ថ្ងៃបញ្ចប់ចុងក្រោយ</t>
  </si>
  <si>
    <t>រយៈពេលតាមដាន</t>
  </si>
  <si>
    <t>១២ សប្ដាហ៍</t>
  </si>
  <si>
    <t>វដ្តត្រួតពិនិត្យ</t>
  </si>
  <si>
    <t>ប្រចាំសប្ដាហ៍</t>
  </si>
  <si>
    <t>សមាសធាតុវាយតម្លៃ និងទម្ងន់ពិន្ទុ</t>
  </si>
  <si>
    <t>ផែនការតាមដានរហូតដល់ថ្ងៃទី ០១ ធ្នូ ២០២៦</t>
  </si>
  <si>
    <t>ល.រ</t>
  </si>
  <si>
    <t>សមាសធាតុវាយតម្លៃ</t>
  </si>
  <si>
    <t>ទម្ងន់</t>
  </si>
  <si>
    <t>ប្រភពភស្តុតាង</t>
  </si>
  <si>
    <t>កំណត់សម្គាល់</t>
  </si>
  <si>
    <t>វគ្គ</t>
  </si>
  <si>
    <t>រយៈពេល</t>
  </si>
  <si>
    <t>គោលដៅ</t>
  </si>
  <si>
    <t>Output / Evidence</t>
  </si>
  <si>
    <t>វត្តមាន</t>
  </si>
  <si>
    <t>Weekly Audit</t>
  </si>
  <si>
    <t>គណនាស្វ័យប្រវត្តិ</t>
  </si>
  <si>
    <t>១</t>
  </si>
  <si>
    <t>09–15 Sep</t>
  </si>
  <si>
    <t>ផ្ទៀងផ្ទាត់ Team Owner / GitHub / Evidence</t>
  </si>
  <si>
    <t>Owner mapping + Audit baseline</t>
  </si>
  <si>
    <t>ការចូលរួម និងទំនាក់ទំនង</t>
  </si>
  <si>
    <t>Meeting / Team</t>
  </si>
  <si>
    <t>0–100</t>
  </si>
  <si>
    <t>២</t>
  </si>
  <si>
    <t>16–30 Sep</t>
  </si>
  <si>
    <t>Security remediation: credential + Git history</t>
  </si>
  <si>
    <t>Incident closure evidence</t>
  </si>
  <si>
    <t>ការបំពេញការងារដែលបានចាត់តាំង</t>
  </si>
  <si>
    <t>Task Tracker</t>
  </si>
  <si>
    <t>៣</t>
  </si>
  <si>
    <t>01–27 Oct</t>
  </si>
  <si>
    <t>Live integrations: Auth / ABA / Telegram / Email / Storage</t>
  </si>
  <si>
    <t>Integration test evidence</t>
  </si>
  <si>
    <t>ការគោរព Deadline</t>
  </si>
  <si>
    <t>៤</t>
  </si>
  <si>
    <t>28 Oct–10 Nov</t>
  </si>
  <si>
    <t>Deployment + Staging E2E / QA/QC</t>
  </si>
  <si>
    <t>Deployment logs + E2E report</t>
  </si>
  <si>
    <t>គុណភាពការងារ</t>
  </si>
  <si>
    <t>QA / Review</t>
  </si>
  <si>
    <t>៥</t>
  </si>
  <si>
    <t>11–24 Nov</t>
  </si>
  <si>
    <t>Documentation + A11y + Performance + Final Fix</t>
  </si>
  <si>
    <t>Final report + optimization evidence</t>
  </si>
  <si>
    <t>Git / GitHub Contribution</t>
  </si>
  <si>
    <t>PR / Commit / Issue</t>
  </si>
  <si>
    <t>៦</t>
  </si>
  <si>
    <t>25 Nov–01 Dec</t>
  </si>
  <si>
    <t>Final Regression / Code Freeze / Demo / Submission</t>
  </si>
  <si>
    <t>Final build + archive + submission</t>
  </si>
  <si>
    <t>Testing / QA / Bug Fix</t>
  </si>
  <si>
    <t>Test Evidence</t>
  </si>
  <si>
    <t>Documentation / Report</t>
  </si>
  <si>
    <t>Report / Document</t>
  </si>
  <si>
    <t>កម្រិតវាយតម្លៃ</t>
  </si>
  <si>
    <t>Initiative &amp; Problem Solving</t>
  </si>
  <si>
    <t>Team Review</t>
  </si>
  <si>
    <t>90–100</t>
  </si>
  <si>
    <t>ល្អប្រសើរ</t>
  </si>
  <si>
    <t>80–89</t>
  </si>
  <si>
    <t>ល្អ</t>
  </si>
  <si>
    <t>Teamwork / Peer Support</t>
  </si>
  <si>
    <t>Peer Review</t>
  </si>
  <si>
    <t>70–79</t>
  </si>
  <si>
    <t>មធ្យមល្អ</t>
  </si>
  <si>
    <t>60–69</t>
  </si>
  <si>
    <t>មធ្យម</t>
  </si>
  <si>
    <t>&lt; 60</t>
  </si>
  <si>
    <t>ត្រូវកែលម្អ</t>
  </si>
  <si>
    <t>កូដវត្តមាន៖ 1 = មានវត្តមាន | L = យឺត | P = មានច្បាប់ | A = អវត្តមាន</t>
  </si>
  <si>
    <t>ព័ត៌មានសវនកម្ម GitHub និងសមាជិកក្រុម</t>
  </si>
  <si>
    <t>Repository</t>
  </si>
  <si>
    <t>Ny-Panha/Koupreng-invitation_project</t>
  </si>
  <si>
    <t>Branch</t>
  </si>
  <si>
    <t>main</t>
  </si>
  <si>
    <t>GitHub reviewed</t>
  </si>
  <si>
    <t>08-Sep-2026</t>
  </si>
  <si>
    <t>Deadline</t>
  </si>
  <si>
    <t>01-Dec-2026</t>
  </si>
  <si>
    <t>Team Leader</t>
  </si>
  <si>
    <t>កឿង វីរៈ (Koeurng Vireak)</t>
  </si>
  <si>
    <t>Members</t>
  </si>
  <si>
    <t>Mapped GitHub</t>
  </si>
  <si>
    <t>Unmapped</t>
  </si>
  <si>
    <t>សមាជិកក្រុម</t>
  </si>
  <si>
    <t>Name / GitHub</t>
  </si>
  <si>
    <t>តួនាទី</t>
  </si>
  <si>
    <t>ស្ថានភាពភស្តុតាង GitHub</t>
  </si>
  <si>
    <t>កឿង វីរៈ</t>
  </si>
  <si>
    <t>Koeurng Vireak / KoeurngVireakk</t>
  </si>
  <si>
    <t>ប្រធានក្រុម / Team Leader — Backend</t>
  </si>
  <si>
    <t>ផ្ទៀងផ្ទាត់ — PR និង Commit ច្រើន</t>
  </si>
  <si>
    <t>ឡាំ គីមឡុង</t>
  </si>
  <si>
    <t>Lam Kimlong / Kimlong1610</t>
  </si>
  <si>
    <t>Backend</t>
  </si>
  <si>
    <t>ផ្ទៀងផ្ទាត់ — Backend/API documentation commits</t>
  </si>
  <si>
    <t>នី បញ្ញា</t>
  </si>
  <si>
    <t>Ny Panha / Ny-Panha</t>
  </si>
  <si>
    <t>Frontend — User &amp; Admin</t>
  </si>
  <si>
    <t>ផ្ទៀងផ្ទាត់ — Template/Seating/Dev workflow commits</t>
  </si>
  <si>
    <t>គក់ ស្រីផ្កាយ</t>
  </si>
  <si>
    <t>Kouk SreyPkay</t>
  </si>
  <si>
    <t>Frontend — User</t>
  </si>
  <si>
    <t>មិនទាន់ផ្ទៀងផ្ទាត់ GitHub account</t>
  </si>
  <si>
    <t>រ៉ាន់ ណារ៉ាត់</t>
  </si>
  <si>
    <t>Ran Narath</t>
  </si>
  <si>
    <t>គុយ ដាលី</t>
  </si>
  <si>
    <t>Kuy Daly</t>
  </si>
  <si>
    <t>គោលការណ៍សវនកម្ម៖ GitHub Commit/PR គឺជាភស្តុតាងបច្ចេកទេសដែលអាចតាមដានបាន ប៉ុន្តែមិនត្រូវប្រើជំនួសការវាយតម្លៃគុណភាព ការចូលរួមប្រជុំ Documentation Demo និងការងារមិនមែនកូដឡើយ។ សម្រាប់សមាជិកដែលមិនទាន់ផ្ទៀងផ្ទាត់ GitHub account ត្រូវប្រើ Task Tracker / Meeting Log / Report / Demo ជាភស្តុតាងបន្ថែម។</t>
  </si>
  <si>
    <t>ប្រព័ន្ធគ្រប់គ្រងលិខិតអញ្ចើញឌីជីថល (E-Invitation) — ការវាយតម្លៃការចូលរួម និងការបំពេញភារកិច្ចប្រចាំសប្ដាហ៍</t>
  </si>
  <si>
    <t>រយៈពេលត្រួតពិនិត្យ៖ 09-09-2026 ដល់ 01-12-2026  |  កាលបរិច្ឆេទបញ្ចប់ចុងក្រោយ៖ 01-12-2026</t>
  </si>
  <si>
    <t>គោត្តនាម និងនាម</t>
  </si>
  <si>
    <t>Name in English</t>
  </si>
  <si>
    <t>តួនាទី / Role</t>
  </si>
  <si>
    <t>វត្តមាន និងការចូលរួមតាមសប្ដាហ៍</t>
  </si>
  <si>
    <t>សរុបវត្តមាន</t>
  </si>
  <si>
    <t>ពិន្ទុវាយតម្លៃដើម (0–100)</t>
  </si>
  <si>
    <t>ពិន្ទុបម្លែងតាមទម្ងន់</t>
  </si>
  <si>
    <t>លទ្ធផលសរុប</t>
  </si>
  <si>
    <t>09–15 កញ្ញា</t>
  </si>
  <si>
    <t>16–22 កញ្ញា</t>
  </si>
  <si>
    <t>23–29 កញ្ញា</t>
  </si>
  <si>
    <t>30 កញ្ញា–06 តុលា</t>
  </si>
  <si>
    <t>07–13 តុលា</t>
  </si>
  <si>
    <t>14–20 តុលា</t>
  </si>
  <si>
    <t>21–27 តុលា</t>
  </si>
  <si>
    <t>28 តុលា–03 វិច្ឆិកា</t>
  </si>
  <si>
    <t>04–10 វិច្ឆិកា</t>
  </si>
  <si>
    <t>11–17 វិច្ឆិកា</t>
  </si>
  <si>
    <t>18–24 វិច្ឆិកា</t>
  </si>
  <si>
    <t>25 វិច្ឆិកា–01 ធ្នូ</t>
  </si>
  <si>
    <t>ចំនួន 1</t>
  </si>
  <si>
    <t>% ចូលរួម</t>
  </si>
  <si>
    <t>ចូលរួម/
ទំនាក់ទំនង</t>
  </si>
  <si>
    <t>បំពេញ
Assignment</t>
  </si>
  <si>
    <t>គោរព
Deadline</t>
  </si>
  <si>
    <t>គុណភាព
ការងារ</t>
  </si>
  <si>
    <t>Git /
GitHub</t>
  </si>
  <si>
    <t>QA /
Testing</t>
  </si>
  <si>
    <t>ឯកសារ /
Report</t>
  </si>
  <si>
    <t>Initiative /
Problem</t>
  </si>
  <si>
    <t>Teamwork /
Peer</t>
  </si>
  <si>
    <t>សរុប /100</t>
  </si>
  <si>
    <t>កម្រិត</t>
  </si>
  <si>
    <t>ចំណាត់ថ្នាក់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</si>
  <si>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</si>
  <si>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</si>
  <si>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</si>
  <si>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</si>
  <si>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</si>
  <si>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</si>
  <si>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</si>
  <si>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</si>
  <si>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</si>
  <si>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</si>
  <si>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</si>
  <si>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</si>
  <si>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10%</t>
  </si>
  <si>
    <t>25%</t>
  </si>
  <si>
    <t>15%</t>
  </si>
  <si>
    <t>5%</t>
  </si>
  <si>
    <t>Koeurng Vireak</t>
  </si>
  <si>
    <t>W1 data entered 10-Sep-2026 from Team Leader input | GitHub mapping: KoeurngVireakk</t>
  </si>
  <si>
    <t>Lam Kimlong</t>
  </si>
  <si>
    <t>W1: Attendance = 1 (active). Team Leader confirmed assignment completed, video submitted, and work pushed to GitHub by 13-Sep-2026. Assignment = 100, Deadline = 100, GitHub = 100. Other categories remain blank until separately evaluated.</t>
  </si>
  <si>
    <t>Ny Panha</t>
  </si>
  <si>
    <t>FINAL W1: Completed with verifiable GitHub evidence. GitHub account mapped from commit author rathbraz115-create. Assignment report 6a12c4e plus audio/countdown fixes 2c2ee3b and 874d222. Assignment = 100, Deadline = 100, GitHub = 100.</t>
  </si>
  <si>
    <t>W1: Attendance = 1 (active). Team Leader accepted Telegram error-report evidence (Google Login / Telegram Login issues) as completed assignment on 13-Sep-2026. Assignment = 100, Deadline = 100. Other categories remain blank until separately evaluated.</t>
  </si>
  <si>
    <t>បែបបទតាមដានការងារ និង Assignment របស់ក្រុម</t>
  </si>
  <si>
    <t>តារាងតាមដានការងារ / ភារកិច្ច — ប្រព័ន្ធគ្រប់គ្រងលិខិតអញ្ចើញឌីជីថល (E-Invitation) | ថ្ងៃផុតកំណត់ចុងក្រោយ៖ 01-Dec-2026</t>
  </si>
  <si>
    <t>ចំណាំ៖ Deadline របស់ការងារទាំងអស់ត្រូវមិនលើសពីថ្ងៃទី ០១ ខែធ្នូ ឆ្នាំ ២០២៦។ Historical rows ប្រើ Completion Date ពី GitHub; Planned rows ប្រើ Target Deadline។</t>
  </si>
  <si>
    <t>Task ID</t>
  </si>
  <si>
    <t>ការងារ / Assignment</t>
  </si>
  <si>
    <t>Module / Process</t>
  </si>
  <si>
    <t>អ្នកទទួលខុសត្រូវ</t>
  </si>
  <si>
    <t>Owner (English)</t>
  </si>
  <si>
    <t>ថ្ងៃចាត់តាំង</t>
  </si>
  <si>
    <t>ថ្ងៃបញ្ចប់</t>
  </si>
  <si>
    <t>អាទិភាព</t>
  </si>
  <si>
    <t>ស្ថានភាព</t>
  </si>
  <si>
    <t>Progress %</t>
  </si>
  <si>
    <t>Evidence / Link</t>
  </si>
  <si>
    <t>Reviewer / QA</t>
  </si>
  <si>
    <t>Quality /100</t>
  </si>
  <si>
    <t>Days Late</t>
  </si>
  <si>
    <t>H-001</t>
  </si>
  <si>
    <t>Media management + template payment flow</t>
  </si>
  <si>
    <t>Media / Payment</t>
  </si>
  <si>
    <t>—</t>
  </si>
  <si>
    <t>បានបញ្ចប់</t>
  </si>
  <si>
    <t>https://github.com/Ny-Panha/Koupreng-invitation_project/pull/2</t>
  </si>
  <si>
    <t>GitHub PR #2; media/storage/payment/Telegram implementation</t>
  </si>
  <si>
    <t>H-002</t>
  </si>
  <si>
    <t>Dynamic + Static ABA payment conflict resolution</t>
  </si>
  <si>
    <t>Payment / Telegram</t>
  </si>
  <si>
    <t>https://github.com/Ny-Panha/Koupreng-invitation_project/pull/3</t>
  </si>
  <si>
    <t>GitHub PR #3; backend tests 84</t>
  </si>
  <si>
    <t>H-003</t>
  </si>
  <si>
    <t>Account, payment, budget stabilization &amp; Flyway safety</t>
  </si>
  <si>
    <t>Backend / Database / Payment</t>
  </si>
  <si>
    <t>https://github.com/Ny-Panha/Koupreng-invitation_project/pull/4</t>
  </si>
  <si>
    <t>GitHub PR #4; backend tests 124</t>
  </si>
  <si>
    <t>H-004</t>
  </si>
  <si>
    <t>Post-merge QA/security tooling</t>
  </si>
  <si>
    <t>QA / Security</t>
  </si>
  <si>
    <t>https://github.com/Ny-Panha/Koupreng-invitation_project/pull/7</t>
  </si>
  <si>
    <t>Security / CSV / audit IP hardening</t>
  </si>
  <si>
    <t>H-005</t>
  </si>
  <si>
    <t>Garden Royal Khmer template audit cleanup</t>
  </si>
  <si>
    <t>Template / QA</t>
  </si>
  <si>
    <t>https://github.com/Ny-Panha/Koupreng-invitation_project/pull/9</t>
  </si>
  <si>
    <t>Backend 127 tests; public parity and QA checklist</t>
  </si>
  <si>
    <t>H-006</t>
  </si>
  <si>
    <t>Khmer wedding template renderer iteration</t>
  </si>
  <si>
    <t>Frontend / Template</t>
  </si>
  <si>
    <t>https://github.com/Ny-Panha/Koupreng-invitation_project/commit/2ba8578ff0b045f237e8277d326c4d969e2e647f</t>
  </si>
  <si>
    <t>Dynamic/Premium/Garden Royal template work</t>
  </si>
  <si>
    <t>H-007</t>
  </si>
  <si>
    <t>Repository cleanup and repository-wide quality gates</t>
  </si>
  <si>
    <t>QA / CI / Security</t>
  </si>
  <si>
    <t>https://github.com/Ny-Panha/Koupreng-invitation_project/commit/8ac78ee8d3fc3a74102441a0b0b69ee1d3d438ff</t>
  </si>
  <si>
    <t>Cleanup, CI, security, Playwright route-smoke evidence</t>
  </si>
  <si>
    <t>H-008</t>
  </si>
  <si>
    <t>User/Admin feature modernization</t>
  </si>
  <si>
    <t>Frontend / Admin</t>
  </si>
  <si>
    <t>https://github.com/Ny-Panha/Koupreng-invitation_project/commit/a56d0b49e74724c34faa90981d8eb4991cd0cf4a</t>
  </si>
  <si>
    <t>Dashboard, builder, guest, budget, gifts, seating, admin</t>
  </si>
  <si>
    <t>H-009</t>
  </si>
  <si>
    <t>AI invitation writing assistant + helper triggers</t>
  </si>
  <si>
    <t>AI / Frontend</t>
  </si>
  <si>
    <t>https://github.com/Ny-Panha/Koupreng-invitation_project/commit/c923eff5810d7d11f8312f6e409f0d39a88e041d</t>
  </si>
  <si>
    <t>Invitation writing assistant</t>
  </si>
  <si>
    <t>H-010</t>
  </si>
  <si>
    <t>A–K full project flow QA verification</t>
  </si>
  <si>
    <t>QA / E2E</t>
  </si>
  <si>
    <t>https://github.com/Ny-Panha/Koupreng-invitation_project/pull/10</t>
  </si>
  <si>
    <t>127 backend tests; lint/build; 22/22 route smoke</t>
  </si>
  <si>
    <t>H-011</t>
  </si>
  <si>
    <t>Dependency and business-flow hardening</t>
  </si>
  <si>
    <t>Security / CI</t>
  </si>
  <si>
    <t>https://github.com/Ny-Panha/Koupreng-invitation_project/commit/57892c718869b4fc4bd80c47eb2b14c87c894547</t>
  </si>
  <si>
    <t>Backend dependency patch + CI sync</t>
  </si>
  <si>
    <t>H-012</t>
  </si>
  <si>
    <t>Legacy authentication storage fix</t>
  </si>
  <si>
    <t>Authentication</t>
  </si>
  <si>
    <t>https://github.com/Ny-Panha/Koupreng-invitation_project/commit/481ab54194ef580f9b9be872c9b2da873315187c</t>
  </si>
  <si>
    <t>Traceable commit by Kimlong1610</t>
  </si>
  <si>
    <t>H-013</t>
  </si>
  <si>
    <t>Dashboard/template catalog UI polish</t>
  </si>
  <si>
    <t>Frontend / UI</t>
  </si>
  <si>
    <t>https://github.com/Ny-Panha/Koupreng-invitation_project/commit/d61d7b1a590093f5c673a7ee214be56132f60837</t>
  </si>
  <si>
    <t>Traceable commit by Ny-Panha</t>
  </si>
  <si>
    <t>H-014</t>
  </si>
  <si>
    <t>Feature modularization + wedding builder/test suites</t>
  </si>
  <si>
    <t>Architecture / Frontend / Tests</t>
  </si>
  <si>
    <t>https://github.com/Ny-Panha/Koupreng-invitation_project/commit/36332bd59b5a2558a0fca69ff61ee9acdd2d8770</t>
  </si>
  <si>
    <t>H-015</t>
  </si>
  <si>
    <t>Canva-style seating floor plan</t>
  </si>
  <si>
    <t>Seating / UI</t>
  </si>
  <si>
    <t>https://github.com/Ny-Panha/Koupreng-invitation_project/commit/d484ad24d2c1a9605f900e32670ba374492aecfb</t>
  </si>
  <si>
    <t>Auto-arrange, anti-overlap, 100-table support</t>
  </si>
  <si>
    <t>H-016</t>
  </si>
  <si>
    <t>Secure OpenAPI + Scalar portal + dev fixtures</t>
  </si>
  <si>
    <t>Backend / API Docs</t>
  </si>
  <si>
    <t>https://github.com/Ny-Panha/Koupreng-invitation_project/commit/4d6f27b68e68d4773a7c6faa0e98f4013115c651</t>
  </si>
  <si>
    <t>OpenAPI/Scalar development documentation</t>
  </si>
  <si>
    <t>H-017</t>
  </si>
  <si>
    <t>Swagger UI and API documentation settings</t>
  </si>
  <si>
    <t>https://github.com/Ny-Panha/Koupreng-invitation_project/commit/468024ee6a17e161417f2154f2f9c1f9fb56d31a</t>
  </si>
  <si>
    <t>H-018</t>
  </si>
  <si>
    <t>Team Git automation to prevent code collisions</t>
  </si>
  <si>
    <t>Team Workflow / Git</t>
  </si>
  <si>
    <t>https://github.com/Ny-Panha/Koupreng-invitation_project/commit/c7512d6fdeae920bb4c1da031f852dd8ae7b517f</t>
  </si>
  <si>
    <t>Team workflow evidence</t>
  </si>
  <si>
    <t>H-019</t>
  </si>
  <si>
    <t>Template live preview sync and curtain gate fix</t>
  </si>
  <si>
    <t>Template / Frontend</t>
  </si>
  <si>
    <t>https://github.com/Ny-Panha/Koupreng-invitation_project/commit/59eec270c00e1d96d8b97b428a0fefcc6b77dde5</t>
  </si>
  <si>
    <t>Latest reviewed main commit</t>
  </si>
  <si>
    <t>P-001</t>
  </si>
  <si>
    <t>ផ្ទៀងផ្ទាត់ GitHub account និង Evidence របស់សមាជិកទាំង ៦</t>
  </si>
  <si>
    <t>Team Audit</t>
  </si>
  <si>
    <t>ក្រុមទាំងមូល</t>
  </si>
  <si>
    <t>Whole Team</t>
  </si>
  <si>
    <t>ខ្ពស់</t>
  </si>
  <si>
    <t>កំពុងធ្វើ</t>
  </si>
  <si>
    <t>វាយតម្លៃក្រុម + ភស្តុតាង GitHub</t>
  </si>
  <si>
    <t>ត្រូវ mapping សមាជិក 3 នាក់ទៀតដោយមិនសន្និដ្ឋាន</t>
  </si>
  <si>
    <t>P-002</t>
  </si>
  <si>
    <t>Rotate leaked/old Telegram credential និងកំណត់ incident owner</t>
  </si>
  <si>
    <t>Security</t>
  </si>
  <si>
    <t>បន្ទាន់</t>
  </si>
  <si>
    <t>គ្រោង</t>
  </si>
  <si>
    <t>docs/security/credential-incident-response.md</t>
  </si>
  <si>
    <t>ត្រូវចាត់តាំង</t>
  </si>
  <si>
    <t>Release blocker from QA evidence</t>
  </si>
  <si>
    <t>P-003</t>
  </si>
  <si>
    <t>Git history remediation / Gitleaks 29 findings triage</t>
  </si>
  <si>
    <t>Security / Git</t>
  </si>
  <si>
    <t>docs/qa/known-limitations.md</t>
  </si>
  <si>
    <t>Coordinate history rewrite and collaborator re-clone</t>
  </si>
  <si>
    <t>P-004</t>
  </si>
  <si>
    <t>Complete Java/Maven vulnerability advisory scan</t>
  </si>
  <si>
    <t>Backend / Security</t>
  </si>
  <si>
    <t>Current local OWASP report incomplete</t>
  </si>
  <si>
    <t>P-005</t>
  </si>
  <si>
    <t>Live Google + Telegram authentication validation</t>
  </si>
  <si>
    <t>Authentication / Integration</t>
  </si>
  <si>
    <t>Integration evidence / screenshots</t>
  </si>
  <si>
    <t>External/manual validation required</t>
  </si>
  <si>
    <t>P-006</t>
  </si>
  <si>
    <t>Live ABA checkout/callback + Telegram payment detection test</t>
  </si>
  <si>
    <t>Payment / Integration</t>
  </si>
  <si>
    <t>Payment test evidence</t>
  </si>
  <si>
    <t>Must verify real payment reconciliation</t>
  </si>
  <si>
    <t>P-007</t>
  </si>
  <si>
    <t>SMTP/email + storage/Cloudinary + DNS/TLS/CORS validation</t>
  </si>
  <si>
    <t>Infrastructure / Integration</t>
  </si>
  <si>
    <t>Deployment configuration evidence</t>
  </si>
  <si>
    <t>External services validation</t>
  </si>
  <si>
    <t>P-008</t>
  </si>
  <si>
    <t>Staging deployment + Railway/service topology evidence</t>
  </si>
  <si>
    <t>Deployment</t>
  </si>
  <si>
    <t>Deployment URL / logs / service mapping</t>
  </si>
  <si>
    <t>No Railway-ready claim until evidence exists</t>
  </si>
  <si>
    <t>P-009</t>
  </si>
  <si>
    <t>Full staging E2E: create/edit/publish/RSVP/admin/payment</t>
  </si>
  <si>
    <t>Staging E2E report</t>
  </si>
  <si>
    <t>ក្រុម QA</t>
  </si>
  <si>
    <t>Representative staging data required</t>
  </si>
  <si>
    <t>P-010</t>
  </si>
  <si>
    <t>Accessibility + performance + large bundle optimization review</t>
  </si>
  <si>
    <t>QA / UX / Performance</t>
  </si>
  <si>
    <t>Lighthouse / a11y checklist / build metrics</t>
  </si>
  <si>
    <t>Includes focus, contrast, reduced motion, performance budgets</t>
  </si>
  <si>
    <t>P-011</t>
  </si>
  <si>
    <t>Final project report, API/ERD/architecture/user guide evidence</t>
  </si>
  <si>
    <t>Documentation</t>
  </si>
  <si>
    <t>Final report / diagrams / appendix</t>
  </si>
  <si>
    <t>Align with university project paper guideline</t>
  </si>
  <si>
    <t>P-012</t>
  </si>
  <si>
    <t>Final demo, defense rehearsal, backup &amp; recovery drill</t>
  </si>
  <si>
    <t>Finalization</t>
  </si>
  <si>
    <t>Demo checklist / backup evidence</t>
  </si>
  <si>
    <t>All members participate</t>
  </si>
  <si>
    <t>P-013</t>
  </si>
  <si>
    <t>Final QA/QC, code freeze, evidence archive and submission</t>
  </si>
  <si>
    <t>Project Closure</t>
  </si>
  <si>
    <t>Final build + submission package</t>
  </si>
  <si>
    <t>គ្រប់ Process ត្រូវបញ្ចប់ត្រឹម 01-Dec-2026</t>
  </si>
  <si>
    <t>W1-001</t>
  </si>
  <si>
    <t>Backend security/API regression + OWASP Java dependency report</t>
  </si>
  <si>
    <t>Backend / Security / API</t>
  </si>
  <si>
    <t>Completed — Team Leader confirmed video submission and GitHub push on 13-Sep-2026. Evidence supported by Telegram submission screenshot and repository activity.</t>
  </si>
  <si>
    <t>W1 complete. Attendance active/present. Video + GitHub push confirmed by Team Leader.</t>
  </si>
  <si>
    <t>W1-002</t>
  </si>
  <si>
    <t>Payment/Telegram backend integration readiness and regression tests</t>
  </si>
  <si>
    <t>Backend / Payment / Telegram</t>
  </si>
  <si>
    <t>Completed — Team Leader accepted reported Google Login / Telegram Login errors as the W1 assignment contribution. Evidence: Telegram error-report video/screenshot shared on 13-Sep-2026.</t>
  </si>
  <si>
    <t>W1 complete by Team Leader decision. Contribution counted as QA/error reporting for payment/auth integration readiness.</t>
  </si>
  <si>
    <t>W1-003</t>
  </si>
  <si>
    <t>User + Admin frontend integration regression and priority bug fixes</t>
  </si>
  <si>
    <t>Frontend / User / Admin</t>
  </si>
  <si>
    <t>W1-004</t>
  </si>
  <si>
    <t>User frontend responsive + accessibility QA and fixes</t>
  </si>
  <si>
    <t>Frontend / User / UX / A11y</t>
  </si>
  <si>
    <t>W1-005</t>
  </si>
  <si>
    <t>Public invitation + RSVP visual/functional QA</t>
  </si>
  <si>
    <t>Frontend / Public / RSVP / Template QA</t>
  </si>
  <si>
    <t>Verified GitHub evidence for Ran Narath / rathbraz115-create. Assignment report commit: https://github.com/Ny-Panha/Koupreng-invitation_project/commit/6a12c4e82b688a120d5adb6a009396777df881a8 ; public invitation audio fix: https://github.com/Ny-Panha/Koupreng-invitation_project/commit/2c2ee3b46655db9ffc8f8184ca7b090919a81d9e ; countdown fix: https://github.com/Ny-Panha/Koupreng-invitation_project/commit/874d2227f9822cf16cbeea280b1c008d5745b587</t>
  </si>
  <si>
    <t>FINAL W1: Completed. Report was committed before the Sunday deadline; follow-up public-template fixes were also pushed before the 08:00 final audit. Assignment accepted as verifiable.</t>
  </si>
  <si>
    <t>កំណត់ហេតុប្រជុំ ការចូលរួម និងសកម្មភាពរបស់ក្រុម</t>
  </si>
  <si>
    <t>កំណត់ត្រាកិច្ចប្រជុំ និងការចូលរួម — ប្រព័ន្ធគ្រប់គ្រងលិខិតអញ្ចើញឌីជីថល (E-Invitation) | 09-Sep-2026 ដល់ 01-Dec-2026</t>
  </si>
  <si>
    <t>ប្រើសន្លឹកនេះសម្រាប់កត់ត្រាប្រជុំពិតប្រាកដ៖ អ្នកចូលរួម សេចក្តីសម្រេច Action Items អ្នកទទួលខុសត្រូវ Due Date និង Evidence។ មិនបានបង្កើត Attendance ក្លែងក្លាយជាមុនទេ។</t>
  </si>
  <si>
    <t>កាលបរិច្ឆេទ</t>
  </si>
  <si>
    <t>សប្ដាហ៍</t>
  </si>
  <si>
    <t>ប្រធានបទប្រជុំ</t>
  </si>
  <si>
    <t>អ្នកចូលរួម</t>
  </si>
  <si>
    <t>អវត្តមាន/ច្បាប់</t>
  </si>
  <si>
    <t>សេចក្តីសម្រេចសំខាន់</t>
  </si>
  <si>
    <t>Action Items</t>
  </si>
  <si>
    <t>Due Date</t>
  </si>
  <si>
    <t>ប្រវត្តិការអភិវឌ្ឍគម្រោង និងសកម្មភាពសំខាន់ៗ</t>
  </si>
  <si>
    <t>ប្រព័ន្ធគ្រប់គ្រងលិខិតអញ្ចើញឌីជីថល (E-Invitation) — Consolidated Project History | បញ្ចប់គ្រប់ដំណើរការត្រឹម 01-Dec-2026</t>
  </si>
  <si>
    <t>ប្រភេទ</t>
  </si>
  <si>
    <t>ដំណាក់កាល / ការងារ</t>
  </si>
  <si>
    <t>សេចក្ដីសង្ខេប</t>
  </si>
  <si>
    <t>អ្នកពាក់ព័ន្ធ</t>
  </si>
  <si>
    <t>ភស្តុតាង / Reference</t>
  </si>
  <si>
    <t>Project Analysis</t>
  </si>
  <si>
    <t>System analysis, core features, DFD/ERD និង Security</t>
  </si>
  <si>
    <t>វិភាគគំរូ E-Invitation, កំណត់ Core Features, សិក្សា DFD/ERD, WAF និង Payment flow សម្រាប់ប្រព័ន្ធ។</t>
  </si>
  <si>
    <t>ក្រុមគម្រោង / Team Leader</t>
  </si>
  <si>
    <t>បានរៀបចំ</t>
  </si>
  <si>
    <t>Project chat history</t>
  </si>
  <si>
    <t>Project Setup</t>
  </si>
  <si>
    <t>រៀបចំ Technology Stack និង Project Structure</t>
  </si>
  <si>
    <t>Spring Boot + Maven, ReactJS/Vite, MySQL, FastAPI, Git និងការរៀបចំ backend/frontend structure។</t>
  </si>
  <si>
    <t>ក្រុមគម្រោង</t>
  </si>
  <si>
    <t>Configuration</t>
  </si>
  <si>
    <t>.env និង Google OAuth</t>
  </si>
  <si>
    <t>រៀបចំ environment variables និង OAuth client configuration សម្រាប់ authentication។</t>
  </si>
  <si>
    <t>Payment Design</t>
  </si>
  <si>
    <t>ABA PayWay + Telegram confirmation</t>
  </si>
  <si>
    <t>រចនា static ABA PayWay link, QR/deeplink និង semi-automatic Telegram payment confirmation ដោយមាន Order/User/Template evidence។</t>
  </si>
  <si>
    <t>Database</t>
  </si>
  <si>
    <t>ERD និង Relational Design</t>
  </si>
  <si>
    <t>រៀបចំ users, templates, invitations, sections, media, guests, RSVP, payments និង relationship សម្រាប់ MySQL/Flyway។</t>
  </si>
  <si>
    <t>AI / Feature Planning</t>
  </si>
  <si>
    <t>AI integration និង Payment/Media implementation planning</t>
  </si>
  <si>
    <t>ពិភាក្សាការរួមបញ្ចូល AI/ML និងរៀបចំ implementation plan សម្រាប់ media និង template payment flow។</t>
  </si>
  <si>
    <t>GitHub PR</t>
  </si>
  <si>
    <t>Media + Template Payment Flow</t>
  </si>
  <si>
    <t>បន្ថែម media management, storage abstraction, media API/Flyway, static ABA payment, admin confirmation, frontend checkout និង Telegram bot។</t>
  </si>
  <si>
    <t>Resolve Payment Conflict Flows</t>
  </si>
  <si>
    <t>រក្សា dynamic ABA QR និងបន្ថែម static ABA/Telegram flow ជាមួយ backend security/testing។</t>
  </si>
  <si>
    <t>Integration</t>
  </si>
  <si>
    <t>Frontend ↔ Backend + Flyway cleanup</t>
  </si>
  <si>
    <t>រៀបចំការតភ្ជាប់ ReactJS និង Spring Boot និងសម្អាត database/entity/Flyway structure ដើម្បីរក្សា UI/UX របស់ក្រុម។</t>
  </si>
  <si>
    <t>Account/Payment/Budget Hardening</t>
  </si>
  <si>
    <t>Stabilization, forward-only Flyway migration, static ABA safety, internal payment secret, auth/account/budget validation និង merge conflict cleanup។</t>
  </si>
  <si>
    <t>Post-merge QA + Security Hardening</t>
  </si>
  <si>
    <t>QA audit tooling, admin login route, CSV/audit IP hardening និង browser smoke support។</t>
  </si>
  <si>
    <t>Template QA</t>
  </si>
  <si>
    <t>Garden Royal Khmer Wedding Template</t>
  </si>
  <si>
    <t>សម្អាត duplicate migration, កែ public parity, story sync និង update QA checklist សម្រាប់ Garden Royal template។</t>
  </si>
  <si>
    <t>AI / LLM</t>
  </si>
  <si>
    <t>LLM Integration Review</t>
  </si>
  <si>
    <t>ពិភាក្សាអំពីការរួមបញ្ចូល LLM សម្រាប់ invitation writing/smart suggestions និងការប្រើ AI ជាផ្នែកបន្ថែម។</t>
  </si>
  <si>
    <t>Team Leader / ក្រុមគម្រោង</t>
  </si>
  <si>
    <t>QA</t>
  </si>
  <si>
    <t>Smoke Test និង Production Readiness</t>
  </si>
  <si>
    <t>កំណត់និយមន័យ Smoke Test និងការប្រើប្រាស់ក្នុង project QA/QC។</t>
  </si>
  <si>
    <t>Architecture</t>
  </si>
  <si>
    <t>Low-budget Deployment Architecture</t>
  </si>
  <si>
    <t>Cloudflare → VPS/Nginx → Docker Compose services: React, Spring Boot, FastAPI, MySQL, Redis និង Telegram/payment worker។</t>
  </si>
  <si>
    <t>Implementation</t>
  </si>
  <si>
    <t>Khmer Wedding Template Iteration</t>
  </si>
  <si>
    <t>Dynamic/Premium Canva Khmer wedding renderer, Garden Royal styling, location fallback និង visual improvements។</t>
  </si>
  <si>
    <t>https://github.com/Ny-Panha/Koupreng-invitation_project/commit/c6aa34ed8f72eeda3a35715e1e5053222ddac36c</t>
  </si>
  <si>
    <t>Repository Audit</t>
  </si>
  <si>
    <t>Repository Cleanup + QA/QC</t>
  </si>
  <si>
    <t>សម្អាត unused assets/routes, រៀបចំ scripts, CI quality gates, backend migration gates, Playwright route smoke, security redaction និង QA evidence។</t>
  </si>
  <si>
    <t>Feature Modernization</t>
  </si>
  <si>
    <t>User/Admin Platform Modernization</t>
  </si>
  <si>
    <t>Dashboard, invitation builder, AI writing assistant, organization workspace, guest management, budget, gifts, RSVP/check-in/seating និង admin workflows។</t>
  </si>
  <si>
    <t>Verify A–K Project Flows</t>
  </si>
  <si>
    <t>បន្ថែម full A–K QA report, route aliases, lint cleanup និង 22/22 route smoke verification។</t>
  </si>
  <si>
    <t>Business Flow + Dependency Hardening</t>
  </si>
  <si>
    <t>Harden frontend/backend business flows, sync frontend dependencies/CI gates និង patch backend dependency vulnerabilities។</t>
  </si>
  <si>
    <t>Legacy session/auth storage improvement</t>
  </si>
  <si>
    <t>កែ storage handling សម្រាប់ legacy session authentication និង initial state reading។</t>
  </si>
  <si>
    <t>UI / Dashboard</t>
  </si>
  <si>
    <t>Dashboard &amp; Template Catalog Polish</t>
  </si>
  <si>
    <t>កែ draft 404 console errors និង polish template catalog/dashboard UI។</t>
  </si>
  <si>
    <t>Workflow Diagram</t>
  </si>
  <si>
    <t>រៀបចំ workflow diagram សម្រាប់ project ដើម្បីបង្ហាញ process និង system flow។</t>
  </si>
  <si>
    <t>Architecture / Code</t>
  </si>
  <si>
    <t>Feature Modularization</t>
  </si>
  <si>
    <t>Modularize features, update wedding builder/templates និង backend test suites។</t>
  </si>
  <si>
    <t>Seating</t>
  </si>
  <si>
    <t>Canva-style Seating Floor Plan</t>
  </si>
  <si>
    <t>Auto-arrange grid, anti-overlap និង support ដល់ 100 tables។</t>
  </si>
  <si>
    <t>Backend Docs</t>
  </si>
  <si>
    <t>Secure OpenAPI / Scalar</t>
  </si>
  <si>
    <t>Secure OpenAPI documentation, static analysis cleanup, Scalar API portal និង dev fixtures។</t>
  </si>
  <si>
    <t>Swagger UI + API documentation settings</t>
  </si>
  <si>
    <t>Enable Swagger UI និង update API documentation configuration។</t>
  </si>
  <si>
    <t>Team Workflow</t>
  </si>
  <si>
    <t>Git automation to prevent code collisions</t>
  </si>
  <si>
    <t>បន្ថែម team Git automation scripts សម្រាប់កាត់បន្ថយ merge/code collision។</t>
  </si>
  <si>
    <t>Template Fix</t>
  </si>
  <si>
    <t>Live Preview Sync / Curtain Gate</t>
  </si>
  <si>
    <t>កែ live preview sync និង curtain gate style overlay ក្នុង dedicated layouts។</t>
  </si>
  <si>
    <t>Audit</t>
  </si>
  <si>
    <t>Team Participation &amp; Contribution Report</t>
  </si>
  <si>
    <t>រៀបចំ Excel audit form មាន weekly attendance, assignment, GitHub evidence, QA/QC, task tracker និង final deadline 01-Dec-2026។</t>
  </si>
  <si>
    <t>កំពុងប្រើប្រាស់</t>
  </si>
  <si>
    <t>ភស្តុតាងសកម្មភាព GitHub របស់ក្រុម</t>
  </si>
  <si>
    <t>Repository: Ny-Panha/Koupreng-invitation_project | Evidence reviewed through 08-Sep-2026 | Commit/PR គឺជាភស្តុតាងបច្ចេកទេស មិនមែនជាពិន្ទុស្វ័យប្រវត្តិ</t>
  </si>
  <si>
    <t>សមាជិក</t>
  </si>
  <si>
    <t>GitHub User</t>
  </si>
  <si>
    <t>PR / Commit</t>
  </si>
  <si>
    <t>QA / Evidence Note</t>
  </si>
  <si>
    <t>Link</t>
  </si>
  <si>
    <t>KoeurngVireakk</t>
  </si>
  <si>
    <t>PR</t>
  </si>
  <si>
    <t>#2</t>
  </si>
  <si>
    <t>Add media and template payment flows</t>
  </si>
  <si>
    <t>Merged</t>
  </si>
  <si>
    <t>Backend 72 tests; frontend build; Telegram compile</t>
  </si>
  <si>
    <t>#3</t>
  </si>
  <si>
    <t>Resolve payment conflict flows</t>
  </si>
  <si>
    <t>Backend 84 tests; user/admin builds; Telegram compile</t>
  </si>
  <si>
    <t>#4</t>
  </si>
  <si>
    <t>Harden account, payment and budget recovery</t>
  </si>
  <si>
    <t>Backend 124 tests; build/smoke validation</t>
  </si>
  <si>
    <t>#5</t>
  </si>
  <si>
    <t>Fix backend diagnostics</t>
  </si>
  <si>
    <t>Closed / Not merged</t>
  </si>
  <si>
    <t>111 backend tests; frontend build</t>
  </si>
  <si>
    <t>https://github.com/Ny-Panha/Koupreng-invitation_project/pull/5</t>
  </si>
  <si>
    <t>#6</t>
  </si>
  <si>
    <t>Post-merge full project QA audit</t>
  </si>
  <si>
    <t>Backend 124 tests; 22 routes smoke</t>
  </si>
  <si>
    <t>https://github.com/Ny-Panha/Koupreng-invitation_project/pull/6</t>
  </si>
  <si>
    <t>#7</t>
  </si>
  <si>
    <t>Security / CSV export / audit IP hardening</t>
  </si>
  <si>
    <t>Security hardening evidence</t>
  </si>
  <si>
    <t>#8</t>
  </si>
  <si>
    <t>Restore post-merge QA tooling and admin login route</t>
  </si>
  <si>
    <t>QA tooling restored</t>
  </si>
  <si>
    <t>https://github.com/Ny-Panha/Koupreng-invitation_project/pull/8</t>
  </si>
  <si>
    <t>#9</t>
  </si>
  <si>
    <t>Complete Garden Royal Khmer wedding template audit cleanup</t>
  </si>
  <si>
    <t>Backend 127 tests; user/admin build; route smoke</t>
  </si>
  <si>
    <t>#10</t>
  </si>
  <si>
    <t>Verify A-K project flows</t>
  </si>
  <si>
    <t>Backend 127 tests/package; lint/build; 22/22 route smoke</t>
  </si>
  <si>
    <t>Commit</t>
  </si>
  <si>
    <t>57892c7</t>
  </si>
  <si>
    <t>Patch backend dependency vulnerabilities</t>
  </si>
  <si>
    <t>On main / traceable</t>
  </si>
  <si>
    <t>Commit history evidence</t>
  </si>
  <si>
    <t>https://github.com/Ny-Panha/Koupreng-invitation_project/commit/57892c7</t>
  </si>
  <si>
    <t>307dc4e</t>
  </si>
  <si>
    <t>Synchronize frontend dependencies and CI gates</t>
  </si>
  <si>
    <t>https://github.com/Ny-Panha/Koupreng-invitation_project/commit/307dc4e</t>
  </si>
  <si>
    <t>7811967</t>
  </si>
  <si>
    <t>Harden frontend and backend business flows</t>
  </si>
  <si>
    <t>https://github.com/Ny-Panha/Koupreng-invitation_project/commit/7811967</t>
  </si>
  <si>
    <t>83bfaed</t>
  </si>
  <si>
    <t>Implement mobile navigation sidebar and toggle functionality</t>
  </si>
  <si>
    <t>https://github.com/Ny-Panha/Koupreng-invitation_project/commit/83bfaed</t>
  </si>
  <si>
    <t>a56d0b4</t>
  </si>
  <si>
    <t>Complete platform management workflows</t>
  </si>
  <si>
    <t>https://github.com/Ny-Panha/Koupreng-invitation_project/commit/a56d0b4</t>
  </si>
  <si>
    <t>e5914d4</t>
  </si>
  <si>
    <t>Modernize RSVP check-in and seating</t>
  </si>
  <si>
    <t>https://github.com/Ny-Panha/Koupreng-invitation_project/commit/e5914d4</t>
  </si>
  <si>
    <t>f24a68c</t>
  </si>
  <si>
    <t>Modernize wedding gift tracking</t>
  </si>
  <si>
    <t>https://github.com/Ny-Panha/Koupreng-invitation_project/commit/f24a68c</t>
  </si>
  <si>
    <t>203a29a</t>
  </si>
  <si>
    <t>Modernize budget and expense experience</t>
  </si>
  <si>
    <t>https://github.com/Ny-Panha/Koupreng-invitation_project/commit/203a29a</t>
  </si>
  <si>
    <t>4581275</t>
  </si>
  <si>
    <t>Add dashboard insights and quick actions</t>
  </si>
  <si>
    <t>https://github.com/Ny-Panha/Koupreng-invitation_project/commit/4581275</t>
  </si>
  <si>
    <t>f78f671</t>
  </si>
  <si>
    <t>Modernize invitation builder workflow with AI helper triggers</t>
  </si>
  <si>
    <t>https://github.com/Ny-Panha/Koupreng-invitation_project/commit/f78f671</t>
  </si>
  <si>
    <t>c923eff</t>
  </si>
  <si>
    <t>Add invitation writing assistant</t>
  </si>
  <si>
    <t>https://github.com/Ny-Panha/Koupreng-invitation_project/commit/c923eff</t>
  </si>
  <si>
    <t>2e57454</t>
  </si>
  <si>
    <t>Add organization team workspace management</t>
  </si>
  <si>
    <t>https://github.com/Ny-Panha/Koupreng-invitation_project/commit/2e57454</t>
  </si>
  <si>
    <t>aa661b0</t>
  </si>
  <si>
    <t>Make backend authoritative for domain state; cleanup local fallbacks</t>
  </si>
  <si>
    <t>https://github.com/Ny-Panha/Koupreng-invitation_project/commit/aa661b0</t>
  </si>
  <si>
    <t>b5968e5</t>
  </si>
  <si>
    <t>Modularize guest management into clean domain architecture</t>
  </si>
  <si>
    <t>https://github.com/Ny-Panha/Koupreng-invitation_project/commit/b5968e5</t>
  </si>
  <si>
    <t>2e7fefe</t>
  </si>
  <si>
    <t>Standardize shared UI system primitives</t>
  </si>
  <si>
    <t>https://github.com/Ny-Panha/Koupreng-invitation_project/commit/2e7fefe</t>
  </si>
  <si>
    <t>3b71c39</t>
  </si>
  <si>
    <t>Canonicalize host routes under /dashboard/* with legacy redirects</t>
  </si>
  <si>
    <t>https://github.com/Ny-Panha/Koupreng-invitation_project/commit/3b71c39</t>
  </si>
  <si>
    <t>97e0a60</t>
  </si>
  <si>
    <t>Update current gap status and frontend/backend capability matrix</t>
  </si>
  <si>
    <t>https://github.com/Ny-Panha/Koupreng-invitation_project/commit/97e0a60</t>
  </si>
  <si>
    <t>b026f7a</t>
  </si>
  <si>
    <t>Add comprehensive backend/frontend audit reports and test configs</t>
  </si>
  <si>
    <t>https://github.com/Ny-Panha/Koupreng-invitation_project/commit/b026f7a</t>
  </si>
  <si>
    <t>3b045b3</t>
  </si>
  <si>
    <t>Add organization frontend API client</t>
  </si>
  <si>
    <t>https://github.com/Ny-Panha/Koupreng-invitation_project/commit/3b045b3</t>
  </si>
  <si>
    <t>159e649</t>
  </si>
  <si>
    <t>Merge repository cleanup and QA into main</t>
  </si>
  <si>
    <t>https://github.com/Ny-Panha/Koupreng-invitation_project/commit/159e649</t>
  </si>
  <si>
    <t>65c5e82</t>
  </si>
  <si>
    <t>Checkpoint local work before merge</t>
  </si>
  <si>
    <t>https://github.com/Ny-Panha/Koupreng-invitation_project/commit/65c5e82</t>
  </si>
  <si>
    <t>405e8a2</t>
  </si>
  <si>
    <t>Separate backend static analysis gate</t>
  </si>
  <si>
    <t>https://github.com/Ny-Panha/Koupreng-invitation_project/commit/405e8a2</t>
  </si>
  <si>
    <t>73c2266</t>
  </si>
  <si>
    <t>Restore complete deletion evidence</t>
  </si>
  <si>
    <t>https://github.com/Ny-Panha/Koupreng-invitation_project/commit/73c2266</t>
  </si>
  <si>
    <t>71bb374</t>
  </si>
  <si>
    <t>Align asset report deliverable name</t>
  </si>
  <si>
    <t>https://github.com/Ny-Panha/Koupreng-invitation_project/commit/71bb374</t>
  </si>
  <si>
    <t>89e060a</t>
  </si>
  <si>
    <t>Avoid secret-shaped auth fixture</t>
  </si>
  <si>
    <t>https://github.com/Ny-Panha/Koupreng-invitation_project/commit/89e060a</t>
  </si>
  <si>
    <t>438d345</t>
  </si>
  <si>
    <t>Record final browser evidence</t>
  </si>
  <si>
    <t>https://github.com/Ny-Panha/Koupreng-invitation_project/commit/438d345</t>
  </si>
  <si>
    <t>4a9800e</t>
  </si>
  <si>
    <t>Enforce route smoke with Playwright</t>
  </si>
  <si>
    <t>https://github.com/Ny-Panha/Koupreng-invitation_project/commit/4a9800e</t>
  </si>
  <si>
    <t>5b7125b</t>
  </si>
  <si>
    <t>Record cleanup evidence and release blockers</t>
  </si>
  <si>
    <t>https://github.com/Ny-Panha/Koupreng-invitation_project/commit/5b7125b</t>
  </si>
  <si>
    <t>c49828e</t>
  </si>
  <si>
    <t>Refresh compatible frontend locks</t>
  </si>
  <si>
    <t>https://github.com/Ny-Panha/Koupreng-invitation_project/commit/c49828e</t>
  </si>
  <si>
    <t>8ac78ee</t>
  </si>
  <si>
    <t>Enforce repository-wide quality gates</t>
  </si>
  <si>
    <t>https://github.com/Ny-Panha/Koupreng-invitation_project/commit/8ac78ee</t>
  </si>
  <si>
    <t>df60f8b</t>
  </si>
  <si>
    <t>Enforce backend quality and migration gates</t>
  </si>
  <si>
    <t>https://github.com/Ny-Panha/Koupreng-invitation_project/commit/df60f8b</t>
  </si>
  <si>
    <t>b604194</t>
  </si>
  <si>
    <t>Relocate and reconcile frontend source notes</t>
  </si>
  <si>
    <t>https://github.com/Ny-Panha/Koupreng-invitation_project/commit/b604194</t>
  </si>
  <si>
    <t>6f0176b</t>
  </si>
  <si>
    <t>Organize reusable automation scripts</t>
  </si>
  <si>
    <t>https://github.com/Ny-Panha/Koupreng-invitation_project/commit/6f0176b</t>
  </si>
  <si>
    <t>fd9a35e</t>
  </si>
  <si>
    <t>Consolidate routes and remove legacy code</t>
  </si>
  <si>
    <t>https://github.com/Ny-Panha/Koupreng-invitation_project/commit/fd9a35e</t>
  </si>
  <si>
    <t>400c92d</t>
  </si>
  <si>
    <t>Remove generated files and unused media</t>
  </si>
  <si>
    <t>https://github.com/Ny-Panha/Koupreng-invitation_project/commit/400c92d</t>
  </si>
  <si>
    <t>7e89241</t>
  </si>
  <si>
    <t>Remove exposed credentials and redact logs</t>
  </si>
  <si>
    <t>https://github.com/Ny-Panha/Koupreng-invitation_project/commit/7e89241</t>
  </si>
  <si>
    <t>2ba8578</t>
  </si>
  <si>
    <t>Add cover Khmer golden wedding template</t>
  </si>
  <si>
    <t>https://github.com/Ny-Panha/Koupreng-invitation_project/commit/2ba8578</t>
  </si>
  <si>
    <t>4c8d02b</t>
  </si>
  <si>
    <t>Add Khmer golden invitation template</t>
  </si>
  <si>
    <t>https://github.com/Ny-Panha/Koupreng-invitation_project/commit/4c8d02b</t>
  </si>
  <si>
    <t>c6aa34e</t>
  </si>
  <si>
    <t>Harden Canva Khmer wedding renderer</t>
  </si>
  <si>
    <t>https://github.com/Ny-Panha/Koupreng-invitation_project/commit/c6aa34e</t>
  </si>
  <si>
    <t>7f7c05c</t>
  </si>
  <si>
    <t>Add premium Canva Khmer wedding renderer</t>
  </si>
  <si>
    <t>https://github.com/Ny-Panha/Koupreng-invitation_project/commit/7f7c05c</t>
  </si>
  <si>
    <t>e28c3b6</t>
  </si>
  <si>
    <t>Build premium Canva Khmer invitation</t>
  </si>
  <si>
    <t>https://github.com/Ny-Panha/Koupreng-invitation_project/commit/e28c3b6</t>
  </si>
  <si>
    <t>1b1e62d</t>
  </si>
  <si>
    <t>Refine Canva Khmer wedding template</t>
  </si>
  <si>
    <t>https://github.com/Ny-Panha/Koupreng-invitation_project/commit/1b1e62d</t>
  </si>
  <si>
    <t>d2f6b01</t>
  </si>
  <si>
    <t>Add dynamic Canva Khmer wedding template</t>
  </si>
  <si>
    <t>https://github.com/Ny-Panha/Koupreng-invitation_project/commit/d2f6b01</t>
  </si>
  <si>
    <t>970e190</t>
  </si>
  <si>
    <t>Enhance location section with loading state and fallback UI</t>
  </si>
  <si>
    <t>https://github.com/Ny-Panha/Koupreng-invitation_project/commit/970e190</t>
  </si>
  <si>
    <t>3619740</t>
  </si>
  <si>
    <t>Add Garden Royal Sambot CSS styles for template experience</t>
  </si>
  <si>
    <t>https://github.com/Ny-Panha/Koupreng-invitation_project/commit/3619740</t>
  </si>
  <si>
    <t>Ny-Panha</t>
  </si>
  <si>
    <t>59eec270</t>
  </si>
  <si>
    <t>Fix template live preview sync and curtain gate overlay</t>
  </si>
  <si>
    <t>https://github.com/Ny-Panha/Koupreng-invitation_project/commit/59eec270</t>
  </si>
  <si>
    <t>c7512d6f</t>
  </si>
  <si>
    <t>Add team Git automation scripts to prevent code collisions</t>
  </si>
  <si>
    <t>https://github.com/Ny-Panha/Koupreng-invitation_project/commit/c7512d6f</t>
  </si>
  <si>
    <t>d484ad24</t>
  </si>
  <si>
    <t>Enhance seating floor plan with Canva-style canvas, auto-arrange, anti-overlap and 100-table support</t>
  </si>
  <si>
    <t>https://github.com/Ny-Panha/Koupreng-invitation_project/commit/d484ad24</t>
  </si>
  <si>
    <t>36332bd5</t>
  </si>
  <si>
    <t>Modularize features; update wedding builder/templates/backend test suites</t>
  </si>
  <si>
    <t>https://github.com/Ny-Panha/Koupreng-invitation_project/commit/36332bd5</t>
  </si>
  <si>
    <t>d61d7b1a</t>
  </si>
  <si>
    <t>Fix dashboard 404 draft errors; polish template catalog and dashboard UI</t>
  </si>
  <si>
    <t>https://github.com/Ny-Panha/Koupreng-invitation_project/commit/d61d7b1a</t>
  </si>
  <si>
    <t>bafbcace</t>
  </si>
  <si>
    <t>Update project features and improvements</t>
  </si>
  <si>
    <t>https://github.com/Ny-Panha/Koupreng-invitation_project/commit/bafbcace</t>
  </si>
  <si>
    <t>Kimlong1610</t>
  </si>
  <si>
    <t>4e451cf6</t>
  </si>
  <si>
    <t>Merge branch main of project repository</t>
  </si>
  <si>
    <t>https://github.com/Ny-Panha/Koupreng-invitation_project/commit/4e451cf6</t>
  </si>
  <si>
    <t>468024ee</t>
  </si>
  <si>
    <t>Enable Swagger UI and update API documentation settings</t>
  </si>
  <si>
    <t>https://github.com/Ny-Panha/Koupreng-invitation_project/commit/468024ee</t>
  </si>
  <si>
    <t>4d6f27b6</t>
  </si>
  <si>
    <t>Add Scalar API portal and development fixtures</t>
  </si>
  <si>
    <t>https://github.com/Ny-Panha/Koupreng-invitation_project/commit/4d6f27b6</t>
  </si>
  <si>
    <t>3dc60b38</t>
  </si>
  <si>
    <t>Resolve backend static analysis findings</t>
  </si>
  <si>
    <t>https://github.com/Ny-Panha/Koupreng-invitation_project/commit/3dc60b38</t>
  </si>
  <si>
    <t>17575f41</t>
  </si>
  <si>
    <t>Add secure OpenAPI documentation</t>
  </si>
  <si>
    <t>https://github.com/Ny-Panha/Koupreng-invitation_project/commit/17575f41</t>
  </si>
  <si>
    <t>481ab541</t>
  </si>
  <si>
    <t>Improve storage handling for legacy session auth and initial state reading</t>
  </si>
  <si>
    <t>https://github.com/Ny-Panha/Koupreng-invitation_project/commit/481ab541</t>
  </si>
  <si>
    <t>សម្គាល់៖ មិនទាន់រកឃើញ GitHub identity ដែលអាចផ្ទៀងផ្ទាត់ដោយទំនុកចិត្តសម្រាប់ គក់ ស្រីផ្កាយ, រ៉ាន់ ណារ៉ាត់ និង គុយ ដាលី។ កុំសន្និដ្ឋានថាពួកគេមិនបានចូលរួម; ត្រូវប្រើ Assignment, Meeting, Documentation, Demo ឬ Evidence ផ្សេងៗសម្រាប់ Audit។</t>
  </si>
  <si>
    <t>ស្ថានភាព QA/QC ភស្តុតាង និង Release Blockers</t>
  </si>
  <si>
    <t>QA evidence date: 21-Jul-2026 | Repository history reviewed through 08-Sep-2026 | ត្រូវ rerun full verification មុន Final Submission 01-Dec-2026</t>
  </si>
  <si>
    <t>ផ្នែក QA/QC</t>
  </si>
  <si>
    <t>ការត្រួតពិនិត្យ / Command</t>
  </si>
  <si>
    <t>លទ្ធផល Evidence 21-Jul-2026</t>
  </si>
  <si>
    <t>ចំណុចត្រូវធ្វើបន្ទាប់</t>
  </si>
  <si>
    <t>Target</t>
  </si>
  <si>
    <t>Reference</t>
  </si>
  <si>
    <t>Backend Full Gate</t>
  </si>
  <si>
    <t>mvnw clean verify</t>
  </si>
  <si>
    <t>PASS: 128 tests, 0 failures/errors, 1 opt-in skip; JaCoCo; SpotBugs High 0; PMD 0</t>
  </si>
  <si>
    <t>PASS</t>
  </si>
  <si>
    <t>Rerun against final code</t>
  </si>
  <si>
    <t>docs/qa/verification-results.md</t>
  </si>
  <si>
    <t>Backend Security Focus</t>
  </si>
  <si>
    <t>Selected security/reset/logging tests</t>
  </si>
  <si>
    <t>PASS: 6 tests</t>
  </si>
  <si>
    <t>Rerun after security remediation</t>
  </si>
  <si>
    <t>Fresh MySQL + Flyway</t>
  </si>
  <si>
    <t>FreshDatabaseMigrationTests</t>
  </si>
  <si>
    <t>PASS: 15 migrations; ddl-auto=validate</t>
  </si>
  <si>
    <t>Normalize migration naming only by approved forward strategy</t>
  </si>
  <si>
    <t>Before final</t>
  </si>
  <si>
    <t>User Frontend</t>
  </si>
  <si>
    <t>lint + Vitest + Knip + depcheck + Vite build</t>
  </si>
  <si>
    <t>PASS; 724 modules; JS bundle above Vite 500k warning</t>
  </si>
  <si>
    <t>PASS / Warning</t>
  </si>
  <si>
    <t>Review code-splitting/performance budget</t>
  </si>
  <si>
    <t>17-Nov-2026</t>
  </si>
  <si>
    <t>Admin Frontend</t>
  </si>
  <si>
    <t>Rerun final build</t>
  </si>
  <si>
    <t>Browser E2E</t>
  </si>
  <si>
    <t>Playwright desktop Chromium + Pixel 7</t>
  </si>
  <si>
    <t>PASS: 52 tests; 8 critical journeys + 44 route-smoke</t>
  </si>
  <si>
    <t>Run full staging E2E against real services</t>
  </si>
  <si>
    <t>10-Nov-2026</t>
  </si>
  <si>
    <t>Route Smoke</t>
  </si>
  <si>
    <t>22 user/admin route shells desktop + mobile</t>
  </si>
  <si>
    <t>PASS: 44 controlled cases</t>
  </si>
  <si>
    <t>Repeat after final UI merge</t>
  </si>
  <si>
    <t>Telegram Service</t>
  </si>
  <si>
    <t>pytest + Ruff + Bandit + compileall</t>
  </si>
  <si>
    <t>PASS: 24 tests and static/compile gates</t>
  </si>
  <si>
    <t>Add live Telegram integration validation</t>
  </si>
  <si>
    <t>13-Oct-2026</t>
  </si>
  <si>
    <t>Python Vulnerability Audit</t>
  </si>
  <si>
    <t>pip-audit</t>
  </si>
  <si>
    <t>PASS: no known vulnerabilities</t>
  </si>
  <si>
    <t>Rerun before release</t>
  </si>
  <si>
    <t>Node Vulnerability Audit</t>
  </si>
  <si>
    <t>npm audit --audit-level=high</t>
  </si>
  <si>
    <t>PASS: 0 vulnerabilities</t>
  </si>
  <si>
    <t>Rerun both frontend apps</t>
  </si>
  <si>
    <t>Secret Scan Current Tree</t>
  </si>
  <si>
    <t>Gitleaks clean exported tree</t>
  </si>
  <si>
    <t>PASS: 0 findings</t>
  </si>
  <si>
    <t>Keep secret scan in final CI</t>
  </si>
  <si>
    <t>Secret Scan Git History</t>
  </si>
  <si>
    <t>Gitleaks full-history diagnostic</t>
  </si>
  <si>
    <t>FAIL/INCIDENT: 29 findings across 12 path/rule groups</t>
  </si>
  <si>
    <t>BLOCKER</t>
  </si>
  <si>
    <t>Rotate credentials + coordinated history rewrite</t>
  </si>
  <si>
    <t>30-Sep-2026</t>
  </si>
  <si>
    <t>Java Advisory Feed</t>
  </si>
  <si>
    <t>Maven dependency security profile</t>
  </si>
  <si>
    <t>INCOMPLETE: no report before 10-minute timeout</t>
  </si>
  <si>
    <t>Obtain successful CI/provider vulnerability report</t>
  </si>
  <si>
    <t>06-Oct-2026</t>
  </si>
  <si>
    <t>Railway / Deployment Evidence</t>
  </si>
  <si>
    <t>Provider binding/topology/logs</t>
  </si>
  <si>
    <t>Not verified / unavailable in audit evidence</t>
  </si>
  <si>
    <t>Provide service topology, variables, deployment logs and verified URL</t>
  </si>
  <si>
    <t>03-Nov-2026</t>
  </si>
  <si>
    <t>Live External Integrations</t>
  </si>
  <si>
    <t>Google, Telegram, ABA, SMTP, Cloudinary, DNS/TLS</t>
  </si>
  <si>
    <t>Manual/live validation not yet evidenced</t>
  </si>
  <si>
    <t>PENDING</t>
  </si>
  <si>
    <t>Complete live/staging validations</t>
  </si>
  <si>
    <t>27-Oct-2026</t>
  </si>
  <si>
    <t>Accessibility / Performance</t>
  </si>
  <si>
    <t>Keyboard, screen reader, focus, contrast, reduced motion, performance</t>
  </si>
  <si>
    <t>Not fully validated</t>
  </si>
  <si>
    <t>Complete a11y and performance review</t>
  </si>
  <si>
    <t>Final Full Regression</t>
  </si>
  <si>
    <t>All modules + final deployment</t>
  </si>
  <si>
    <t>Not run yet against final code</t>
  </si>
  <si>
    <t>PLANNED</t>
  </si>
  <si>
    <t>Run final regression, archive evidence and freeze release</t>
  </si>
  <si>
    <t>Final audit plan</t>
  </si>
  <si>
    <t>Release Blockers ដែលត្រូវបិទមុន 01-Dec-2026</t>
  </si>
  <si>
    <t>Blocker</t>
  </si>
  <si>
    <t>ស្ថានភាពបច្ចុប្បន្ន</t>
  </si>
  <si>
    <t>សកម្មភាពត្រូវធ្វើ</t>
  </si>
  <si>
    <t>Owner</t>
  </si>
  <si>
    <t>Credential rotation</t>
  </si>
  <si>
    <t>Old/exposed Telegram credential requires rotation</t>
  </si>
  <si>
    <t>Rotate via BotFather, update deployment secrets, verify old token dead</t>
  </si>
  <si>
    <t>22-Sep-2026</t>
  </si>
  <si>
    <t>Git history remediation</t>
  </si>
  <si>
    <t>29 Gitleaks findings / 12 groups</t>
  </si>
  <si>
    <t>Triage + git filter-repo + coordinated force-push + re-clone</t>
  </si>
  <si>
    <t>Java dependency advisory</t>
  </si>
  <si>
    <t>Local advisory run incomplete</t>
  </si>
  <si>
    <t>Get successful CI/provider dependency vulnerability report</t>
  </si>
  <si>
    <t>Deployment evidence</t>
  </si>
  <si>
    <t>Railway/service topology not verified</t>
  </si>
  <si>
    <t>Provide status, services, vars (redacted), logs, domains, DB mapping</t>
  </si>
  <si>
    <t>Asset rights</t>
  </si>
  <si>
    <t>Retained music/gallery rights not documented</t>
  </si>
  <si>
    <t>Record license/source or replace assets before production</t>
  </si>
  <si>
    <t>ផែនការចាត់តាំងការងារប្រចាំសប្ដាហ៍</t>
  </si>
  <si>
    <t>ប្រព័ន្ធគ្រប់គ្រងលិខិតអញ្ចើញឌីជីថល (E-Invitation)</t>
  </si>
  <si>
    <t>រយៈពេលការងារ៖ 10–13 September 2026  |  Checkpoint៖ Saturday 12-Sep-2026 18:00  |  Final Deadline៖ Sunday 13-Sep-2026 23:59</t>
  </si>
  <si>
    <t>Assignment សំខាន់</t>
  </si>
  <si>
    <t>Deliverables / Evidence</t>
  </si>
  <si>
    <t>Acceptance Criteria</t>
  </si>
  <si>
    <t>Priority</t>
  </si>
  <si>
    <t>Status</t>
  </si>
  <si>
    <t>ឡាំ គីមឡុង
Lam Kimlong</t>
  </si>
  <si>
    <t>PR, mvn test output, OWASP report, Swagger/Scalar verification evidence</t>
  </si>
  <si>
    <t>Backend tests PASS; dependency report generated; safe High/Critical findings fixed or documented; API docs remain correctly protected/configured</t>
  </si>
  <si>
    <t>feat/week1-backend-security-api</t>
  </si>
  <si>
    <t>គុយ ដាលី
Kuy Daly</t>
  </si>
  <si>
    <t>Payment/Telegram backend integration readiness + regression tests</t>
  </si>
  <si>
    <t>PR, Postman/mock evidence, test output</t>
  </si>
  <si>
    <t>Order/amount validation, payment-state transitions and duplicate-confirmation/idempotency tested; Telegram/manual confirmation path documented; backend tests PASS</t>
  </si>
  <si>
    <t>feat/week1-payment-integration-tests</t>
  </si>
  <si>
    <t>នី បញ្ញា
Ny Panha</t>
  </si>
  <si>
    <t>User + Admin frontend integration regression + P0/P1 fixes</t>
  </si>
  <si>
    <t>PR, screenshots, lint/build/test evidence</t>
  </si>
  <si>
    <t>Auth guards, dashboard, template create/edit/preview and admin user/template management tested; no reproducible P0/P1 route/API mismatch remains; builds PASS</t>
  </si>
  <si>
    <t>fix/week1-user-admin-regression</t>
  </si>
  <si>
    <t>គក់ ស្រីផ្កាយ
Kouk SreyPkay</t>
  </si>
  <si>
    <t>PR, 360/390/412px screenshots, QA checklist</t>
  </si>
  <si>
    <t>Dashboard, Template Catalog and Builder usable on target widths; no critical horizontal overflow; forms/loading/error/empty states and keyboard/focus reviewed; build PASS</t>
  </si>
  <si>
    <t>fix/week1-user-responsive-a11y</t>
  </si>
  <si>
    <t>រ៉ាន់ ណារ៉ាត់
Ran Narath</t>
  </si>
  <si>
    <t>PR or QA report, mobile/desktop screenshots, defect checklist</t>
  </si>
  <si>
    <t>CanvaKhmerWeddingTemplate reviewed for typography/spacing/opening/RSVP/gallery/music/location/upload fallbacks; P0/P1 fixed or clearly evidenced; public flow works without broken assets</t>
  </si>
  <si>
    <t>test/week1-public-rsvp-visual-qa</t>
  </si>
  <si>
    <t>របៀប Submit និង Definition of Done</t>
  </si>
  <si>
    <t>1</t>
  </si>
  <si>
    <t>ប្រើ Branch ផ្ទាល់ខ្លួនតាមឈ្មោះដែលបានកំណត់ ហើយបង្កើត Pull Request; មិន Push ទៅ main ដោយផ្ទាល់។</t>
  </si>
  <si>
    <t>2</t>
  </si>
  <si>
    <t>រាល់ Assignment ត្រូវមាន Evidence: PR/Commit link + Test output + Screenshot/Checklist ឬ Report តាមប្រភេទការងារ។</t>
  </si>
  <si>
    <t>3</t>
  </si>
  <si>
    <t>Checkpoint ថ្ងៃសៅរ៍ 12-Sep-2026 ម៉ោង 18:00 — ត្រូវបង្ហាញ Progress, បញ្ហា/Blocker និង Evidence ដំបូង។</t>
  </si>
  <si>
    <t>4</t>
  </si>
  <si>
    <t>Final Deadline ថ្ងៃអាទិត្យ 13-Sep-2026 ម៉ោង 23:59 — PR និង Evidence ត្រូវ Ready for Review; បញ្ហាដែលមិនអាចដោះស្រាយត្រូវមាន Root Cause + Next Action។</t>
  </si>
  <si>
    <t>5</t>
  </si>
  <si>
    <t>ការងារត្រូវបានចាត់ទុកថា Complete លុះត្រាតែ Acceptance Criteria បានបំពេញ និង Team Leader Review Evidence រួច។</t>
  </si>
  <si>
    <t>W1 late submission verified on GitHub. PR #11 (fix/week1-user-admin-regression) created 14-Sep-2026 14:08 ICT, about 14h09m after the 13-Sep 23:59 deadline. Scope matches W1-003 and PR reports User 124 tests + Admin 9 tests + backend build success. GitHub Actions CI was not fully green: frontend lint/analyze jobs and dependency audit failed, so Quality/QA are not full points. Scores: Assignment 90, Deadline 50, Quality 85, GitHub 95, QA 80, Documentation 90, Initiative 85. Attendance remains A; Communication and Teamwork remain blank pending non-GitHub evidence.</t>
  </si>
  <si>
    <t>W1 late deliverable exists: PR #12 for responsive/a11y work, created 14-Sep-2026 14:08 ICT, about 14h10m late. Scope matches W1-004 (360/390/412px responsive fixes + focus-visible accessibility). However the PR creator and commit author/committer are Ny-Panha, so individual GitHub contribution by Kouk is not verified. CI was not fully green because frontend lint/analyze and dependency audit failed. Provisional scores: Assignment 75, Deadline 50, Quality 85, GitHub 30, QA 75, Documentation 80, Initiative 60. Attendance remains A; Communication and Teamwork remain blank. Raise the individual scores only if Kouk provides personal evidence (video/demo/commit attribution).</t>
  </si>
  <si>
    <t>Late W1 evidence verified: https://github.com/Ny-Panha/Koupreng-invitation_project/pull/11 | branch fix/week1-user-admin-regression | PR created 14-Sep-2026 14:08 ICT. Reported tests: frontend-user 124 PASS, frontend-admin 9 PASS, backend BUILD SUCCESS. CI frontend lint/analyze was not fully green.</t>
  </si>
  <si>
    <t>COMPLETED LATE (~14h09m after deadline). Assignment score revised from 0 to 90; Deadline = 50. Technical scores adjusted for CI quality-gate failures.</t>
  </si>
  <si>
    <t>Late W1 deliverable: https://github.com/Ny-Panha/Koupreng-invitation_project/pull/12 | branch fix/week1-user-responsive-a11y | PR created 14-Sep-2026 14:08 ICT. Changed Dashboard, Template Catalog, and Wedding Builder responsive/a11y CSS. Important audit note: PR creator and commit author/committer are Ny-Panha, not a verified Kouk GitHub account.</t>
  </si>
  <si>
    <t>COMPLETED LATE (~14h10m after deadline), but individual attribution is incomplete. Assignment = 75, Deadline = 50, GitHub = 30 pending Kouk personal evidence.</t>
  </si>
  <si>
    <t>W2-001</t>
  </si>
  <si>
    <t>Backend Security + OWASP Verification</t>
  </si>
  <si>
    <t>Backend / Security / OWASP</t>
  </si>
  <si>
    <t>OWASP report + PR/commit + mvn test/package output + video/screenshots</t>
  </si>
  <si>
    <t>Checkpoint 19-Sep-2026 18:00 | Own assignment only</t>
  </si>
  <si>
    <t>W2-002</t>
  </si>
  <si>
    <t>Payment + Telegram End-to-End Testing</t>
  </si>
  <si>
    <t>Postman/mock + PR/commit + test output + Telegram video/report</t>
  </si>
  <si>
    <t>W2-003</t>
  </si>
  <si>
    <t>Frontend Integration + Priority Bug Fixes</t>
  </si>
  <si>
    <t>Own PR/commit + screenshots + lint/build/test + demo video</t>
  </si>
  <si>
    <t>W2-004</t>
  </si>
  <si>
    <t>Responsive + Accessibility Improvement</t>
  </si>
  <si>
    <t>Own PR/commit + 360/390/412 screenshots + QA checklist + build</t>
  </si>
  <si>
    <t>W2-005</t>
  </si>
  <si>
    <t>Public Invitation + RSVP Regression</t>
  </si>
  <si>
    <t>Own PR/commit + mobile/desktop evidence + regression checklist + defect report</t>
  </si>
  <si>
    <t>W2-006</t>
  </si>
  <si>
    <t>Integration + Release Readiness Review</t>
  </si>
  <si>
    <t>Leadership / QA / Release</t>
  </si>
  <si>
    <t>PR review evidence + smoke report + blocker list + updated audit</t>
  </si>
  <si>
    <t>Checkpoint 19-Sep-2026 18:00 | Review all member evidence individually</t>
  </si>
  <si>
    <t>ផែនការចាត់តាំងការងារប្រចាំសប្ដាហ៍ទី២</t>
  </si>
  <si>
    <t>រយៈពេលការងារ៖ 14–20 September 2026  |  Checkpoint៖ Saturday 19-Sep-2026 18:00  |  Final Deadline៖ Sunday 20-Sep-2026 23:59</t>
  </si>
  <si>
    <t>ច្បាប់សំខាន់៖ សមាជិកម្នាក់ = Assignment ផ្ទាល់ខ្លួន ១ | មិនធ្វើជំនួសអ្នកដទៃ លុះត្រាតែ Team Leader Reassign | Evidence ត្រូវមានសម្រាប់ការវាយតម្លៃ</t>
  </si>
  <si>
    <t>Assignment សំខាន់ / Detailed Work</t>
  </si>
  <si>
    <t>Backend Security + OWASP Verification
1) Run OWASP dependency-check after current Spring Boot/Tomcat updates.
2) Review all High/Critical findings.
3) Fix safe dependency issues or document valid exceptions.
4) Re-run backend tests/package and verify Swagger/Scalar access/security.</t>
  </si>
  <si>
    <t>PR/commit link
OWASP HTML/JSON report
mvn test/package output
Short Telegram video or screenshots</t>
  </si>
  <si>
    <t>OWASP report generated; no unresolved High/Critical finding without explanation; backend tests PASS; API docs still work and remain correctly protected.</t>
  </si>
  <si>
    <t>feat/week2-backend-security-owasp</t>
  </si>
  <si>
    <t>Payment + Telegram End-to-End Testing
1) Test order ID/amount validation.
2) Test payment states: pending/paid/failed/cancelled where supported.
3) Test duplicate confirmation/idempotency.
4) Test Telegram/manual confirmation flow and report/fix reproducible backend issues.</t>
  </si>
  <si>
    <t>PR/commit link
Postman/mock collection or screenshots
Test output
Telegram video/report</t>
  </si>
  <si>
    <t>Core payment scenarios are reproducible and documented; duplicate confirmation cannot double-process; Telegram confirmation path is verified; backend tests PASS for changed code.</t>
  </si>
  <si>
    <t>test/week2-payment-telegram-e2e</t>
  </si>
  <si>
    <t>Frontend Integration + Priority Bug Fixes
1) Test login/logout and route guards.
2) Test User Dashboard and template list/create/edit/preview.
3) Test Admin user/template management.
4) Fix reproducible P0/P1 frontend ↔ API route/data mismatches.
5) Run lint/build/tests.</t>
  </si>
  <si>
    <t>Own PR/commit link
Before/after screenshots
lint/build/test output
Short demo video</t>
  </si>
  <si>
    <t>Critical User/Admin flows work without reproducible P0/P1 integration defects; frontend-user and frontend-admin lint/build PASS; changed flows have evidence.</t>
  </si>
  <si>
    <t>fix/week2-user-admin-integration</t>
  </si>
  <si>
    <t>Responsive + Accessibility Improvement
1) Audit Dashboard, Template Catalog and Builder at 360/390/412px + desktop.
2) Fix horizontal overflow/layout breakage.
3) Review forms, labels, keyboard/focus, loading/error/empty states.
4) Re-test after fixes and run production build.</t>
  </si>
  <si>
    <t>Own PR/commit link
360/390/412px before/after screenshots
QA checklist
Build result</t>
  </si>
  <si>
    <t>Target pages are usable on required widths; no critical horizontal overflow; core forms/states are accessible by keyboard/focus; production build PASS.</t>
  </si>
  <si>
    <t>fix/week2-responsive-a11y</t>
  </si>
  <si>
    <t>Public Invitation + RSVP Regression
1) Re-test recent audio/countdown fixes.
2) Test opening animation, RSVP validation/submission, gallery and music.
3) Test countdown, location/map and custom-upload fallbacks.
4) Check mobile + desktop and fix/document P0/P1 issues.</t>
  </si>
  <si>
    <t>Own PR/commit link
Mobile/desktop screenshots or video
Regression checklist
Defect/fix report</t>
  </si>
  <si>
    <t>Public invitation opens correctly; RSVP flow is functional; music/countdown/gallery/location work without broken assets; P0/P1 defects fixed or clearly documented.</t>
  </si>
  <si>
    <t>test/week2-public-rsvp-regression</t>
  </si>
  <si>
    <t>កឿង វីរៈ
Koeurng Vireak</t>
  </si>
  <si>
    <t>Team Leader — Backend</t>
  </si>
  <si>
    <t>Integration + Release Readiness Review
1) Review each member's work individually and verify ownership/evidence.
2) Review PRs and reject incomplete work.
3) Run integrated smoke tests on accepted changes.
4) Update blocker list, weekly audit and final Week 2 report.
5) Merge only after evidence + tests meet acceptance criteria.</t>
  </si>
  <si>
    <t>PR review comments/decisions
Smoke-test report
Updated blocker list
Updated team audit/report</t>
  </si>
  <si>
    <t>Every member has a clear final status and evidence; accepted PRs pass required checks; main/integration status is recorded; unresolved blockers have owner + next action.</t>
  </si>
  <si>
    <t>docs/week2-release-readiness-review</t>
  </si>
  <si>
    <t>របៀប Submit និង Definition of Done — Week 2</t>
  </si>
  <si>
    <t>សមាជិកម្នាក់ៗត្រូវធ្វើ Assignment របស់ខ្លួន។ មិនត្រូវយក Assignment របស់អ្នកដទៃមកធ្វើជំនួស លុះត្រាតែ Team Leader Reassign ជាផ្លូវការ។</t>
  </si>
  <si>
    <t>ប្រើ Branch ផ្ទាល់ខ្លួនតាមឈ្មោះដែលបានកំណត់ + Pull Request/Commit Evidence; មិន Push ទៅ main ដោយផ្ទាល់។</t>
  </si>
  <si>
    <t>Checkpoint ថ្ងៃសៅរ៍ 19-Sep-2026 ម៉ោង 18:00 — ត្រូវបង្ហាញ Progress, Blocker និង Evidence ដំបូង (PR/Commit/Test/Screenshot/Video/Report តាម Assignment)។</t>
  </si>
  <si>
    <t>Final Deadline ថ្ងៃអាទិត្យ 20-Sep-2026 ម៉ោង 23:59 — Assignment និង Evidence ត្រូវ Ready for Review; No verifiable evidence = Assignment Score 0។</t>
  </si>
  <si>
    <t>ការងារត្រូវបានចាត់ទុកថា Complete លុះត្រាតែ Acceptance Criteria បានបំពេញ, Test/Build ដែលពាក់ព័ន្ធ PASS និង Team Leader Review Evidence រួច។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</si>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</sst>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"/>
    <numFmt numFmtId="166" formatCode="0&quot;%&quot;"/>
    <numFmt numFmtId="167" formatCode="ddd\,\ dd\-mmm\-yyyy"/>
  </numFmts>
  <fonts count="34" x14ac:knownFonts="1">
    <font>
      <sz val="11"/>
      <name val="Carlito"/>
    </font>
    <font>
      <b/>
      <sz val="14"/>
      <color rgb="FFFFFFFF"/>
      <name val="Khmer OS Muol Light"/>
    </font>
    <font>
      <b/>
      <sz val="10"/>
      <color rgb="FF1F4E78"/>
      <name val="Khmer OS Muol Light"/>
    </font>
    <font>
      <b/>
      <sz val="9"/>
      <color rgb="FFC00000"/>
      <name val="Khmer OS Battambang"/>
    </font>
    <font>
      <b/>
      <sz val="10"/>
      <color rgb="FFFFFFFF"/>
      <name val="Khmer OS Muol Light"/>
    </font>
    <font>
      <b/>
      <sz val="10"/>
      <name val="Khmer OS Muol Light"/>
    </font>
    <font>
      <sz val="9"/>
      <name val="Khmer OS Battambang"/>
    </font>
    <font>
      <b/>
      <sz val="18"/>
      <color rgb="FF17365D"/>
      <name val="Times New Roman"/>
    </font>
    <font>
      <b/>
      <sz val="18"/>
      <name val="Times New Roman"/>
    </font>
    <font>
      <b/>
      <sz val="9"/>
      <name val="Khmer OS Battambang"/>
    </font>
    <font>
      <sz val="9"/>
      <name val="Times New Roman"/>
    </font>
    <font>
      <b/>
      <sz val="9"/>
      <name val="Khmer OS Muol Light"/>
    </font>
    <font>
      <i/>
      <sz val="8"/>
      <name val="Khmer OS Battambang"/>
    </font>
    <font>
      <b/>
      <sz val="9"/>
      <color rgb="FFFFFFFF"/>
      <name val="Khmer OS Battambang"/>
    </font>
    <font>
      <i/>
      <sz val="9"/>
      <name val="Khmer OS Battambang"/>
    </font>
    <font>
      <b/>
      <sz val="8"/>
      <name val="Khmer OS Battambang"/>
    </font>
    <font>
      <sz val="8"/>
      <name val="Khmer OS Battambang"/>
    </font>
    <font>
      <sz val="8"/>
      <name val="Times New Roman"/>
    </font>
    <font>
      <b/>
      <sz val="8"/>
      <color rgb="FFFFFFFF"/>
      <name val="Khmer OS Battambang"/>
    </font>
    <font>
      <b/>
      <sz val="10"/>
      <name val="Khmer OS Battambang"/>
    </font>
    <font>
      <b/>
      <sz val="11"/>
      <color rgb="FFFFFFFF"/>
      <name val="Khmer OS Muol Light"/>
    </font>
    <font>
      <b/>
      <sz val="16"/>
      <color rgb="FFFFFFFF"/>
      <name val="Khmer OS Muol Light"/>
    </font>
    <font>
      <b/>
      <sz val="12"/>
      <color rgb="FF24431C"/>
      <name val="Khmer OS Battambang"/>
    </font>
    <font>
      <b/>
      <sz val="10"/>
      <color rgb="FFB42318"/>
      <name val="Khmer OS Battambang"/>
    </font>
    <font>
      <b/>
      <sz val="10"/>
      <color rgb="FFFFFFFF"/>
      <name val="Khmer OS Battambang"/>
    </font>
    <font>
      <b/>
      <sz val="12"/>
      <color rgb="FFFFFFFF"/>
      <name val="Khmer OS Muol Light"/>
    </font>
    <font>
      <b/>
      <sz val="11"/>
      <name val="Times New Roman"/>
    </font>
    <font>
      <sz val="10"/>
      <name val="Khmer OS Battambang"/>
    </font>
    <font>
      <b/>
      <sz val="15"/>
      <color rgb="FFFFFFFF"/>
      <name val="Khmer OS Muol Light"/>
    </font>
    <font>
      <b/>
      <sz val="10"/>
      <color rgb="FF285F20"/>
      <name val="Khmer OS Muol Light"/>
    </font>
    <font>
      <b/>
      <sz val="9"/>
      <color rgb="FF7F6000"/>
      <name val="Khmer OS Battambang"/>
    </font>
    <font>
      <sz val="8"/>
      <color rgb="FF222222"/>
      <name val="Khmer OS Battambang"/>
    </font>
    <font>
      <sz val="8"/>
      <color rgb="FF222222"/>
      <name val="Times New Roman"/>
    </font>
    <font>
      <b/>
      <sz val="9"/>
      <color rgb="FF222222"/>
      <name val="Times New Roman"/>
    </font>
  </fonts>
  <fills count="30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CE4D6"/>
      </patternFill>
    </fill>
    <fill>
      <patternFill patternType="solid">
        <fgColor rgb="FF1F6D5A"/>
      </patternFill>
    </fill>
    <fill>
      <patternFill patternType="solid">
        <fgColor rgb="FF1F4E78"/>
      </patternFill>
    </fill>
    <fill>
      <patternFill patternType="solid">
        <fgColor rgb="FFD6A83E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BEA"/>
      </patternFill>
    </fill>
    <fill>
      <patternFill patternType="solid">
        <fgColor rgb="FFEAF2F8"/>
      </patternFill>
    </fill>
    <fill>
      <patternFill patternType="solid">
        <fgColor rgb="FFFFF9E6"/>
      </patternFill>
    </fill>
    <fill>
      <patternFill patternType="solid">
        <fgColor rgb="FFFDE9E7"/>
      </patternFill>
    </fill>
    <fill>
      <patternFill patternType="solid">
        <fgColor rgb="FFC00000"/>
      </patternFill>
    </fill>
    <fill>
      <patternFill patternType="solid">
        <fgColor rgb="FF2F5D23"/>
      </patternFill>
    </fill>
    <fill>
      <patternFill patternType="solid">
        <fgColor rgb="FFEAF2E5"/>
      </patternFill>
    </fill>
    <fill>
      <patternFill patternType="solid">
        <fgColor rgb="FFFCE8D8"/>
      </patternFill>
    </fill>
    <fill>
      <patternFill patternType="solid">
        <fgColor rgb="FF1F6F5B"/>
      </patternFill>
    </fill>
    <fill>
      <patternFill patternType="solid">
        <fgColor rgb="FFFAFCF8"/>
      </patternFill>
    </fill>
    <fill>
      <patternFill patternType="solid">
        <fgColor rgb="FFFFF2CC"/>
      </patternFill>
    </fill>
    <fill>
      <patternFill patternType="solid">
        <fgColor rgb="FF285F20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23745F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 style="thin">
        <color rgb="FF808080"/>
      </left>
      <right style="thin">
        <color rgb="FFD9D9D9"/>
      </right>
      <top style="thin">
        <color rgb="FF80808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808080"/>
      </top>
      <bottom style="thin">
        <color rgb="FFD9D9D9"/>
      </bottom>
      <diagonal/>
    </border>
    <border>
      <left style="thin">
        <color rgb="FFD9D9D9"/>
      </left>
      <right style="thin">
        <color rgb="FF808080"/>
      </right>
      <top style="thin">
        <color rgb="FF808080"/>
      </top>
      <bottom style="thin">
        <color rgb="FFD9D9D9"/>
      </bottom>
      <diagonal/>
    </border>
    <border>
      <left style="thin">
        <color rgb="FF80808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808080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D9D9D9"/>
      </left>
      <right style="thin">
        <color rgb="FF808080"/>
      </right>
      <top style="thin">
        <color rgb="FFD9D9D9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E5E5E5"/>
      </left>
      <right/>
      <top style="thin">
        <color rgb="FFE5E5E5"/>
      </top>
      <bottom/>
      <diagonal/>
    </border>
    <border>
      <left/>
      <right/>
      <top style="thin">
        <color rgb="FFE5E5E5"/>
      </top>
      <bottom/>
      <diagonal/>
    </border>
    <border>
      <left/>
      <right style="thin">
        <color rgb="FFE5E5E5"/>
      </right>
      <top style="thin">
        <color rgb="FFE5E5E5"/>
      </top>
      <bottom/>
      <diagonal/>
    </border>
    <border>
      <left style="thin">
        <color rgb="FFE5E5E5"/>
      </left>
      <right/>
      <top/>
      <bottom/>
      <diagonal/>
    </border>
    <border>
      <left/>
      <right style="thin">
        <color rgb="FFE5E5E5"/>
      </right>
      <top/>
      <bottom/>
      <diagonal/>
    </border>
    <border>
      <left style="thin">
        <color rgb="FFE5E5E5"/>
      </left>
      <right/>
      <top/>
      <bottom style="thin">
        <color rgb="FFE5E5E5"/>
      </bottom>
      <diagonal/>
    </border>
    <border>
      <left/>
      <right/>
      <top/>
      <bottom style="thin">
        <color rgb="FFE5E5E5"/>
      </bottom>
      <diagonal/>
    </border>
    <border>
      <left/>
      <right style="thin">
        <color rgb="FFE5E5E5"/>
      </right>
      <top/>
      <bottom style="thin">
        <color rgb="FFE5E5E5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5" fillId="6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 wrapText="1"/>
    </xf>
    <xf numFmtId="164" fontId="6" fillId="0" borderId="2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/>
    <xf numFmtId="0" fontId="6" fillId="0" borderId="4" xfId="0" applyNumberFormat="1" applyFont="1" applyFill="1" applyBorder="1" applyAlignment="1">
      <alignment vertical="center" wrapText="1"/>
    </xf>
    <xf numFmtId="164" fontId="6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/>
    <xf numFmtId="0" fontId="6" fillId="0" borderId="5" xfId="0" applyNumberFormat="1" applyFont="1" applyFill="1" applyBorder="1" applyAlignment="1">
      <alignment vertical="center" wrapText="1"/>
    </xf>
    <xf numFmtId="0" fontId="6" fillId="0" borderId="7" xfId="0" applyNumberFormat="1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/>
    <xf numFmtId="0" fontId="9" fillId="9" borderId="1" xfId="0" applyNumberFormat="1" applyFont="1" applyFill="1" applyBorder="1" applyAlignment="1">
      <alignment horizontal="center" vertical="center" wrapText="1"/>
    </xf>
    <xf numFmtId="0" fontId="9" fillId="9" borderId="2" xfId="0" applyNumberFormat="1" applyFont="1" applyFill="1" applyBorder="1" applyAlignment="1">
      <alignment horizontal="center" vertical="center" wrapText="1"/>
    </xf>
    <xf numFmtId="0" fontId="9" fillId="9" borderId="3" xfId="0" applyNumberFormat="1" applyFont="1" applyFill="1" applyBorder="1" applyAlignment="1">
      <alignment horizontal="center" vertical="center" wrapText="1"/>
    </xf>
    <xf numFmtId="9" fontId="6" fillId="0" borderId="5" xfId="0" applyNumberFormat="1" applyFont="1" applyFill="1" applyBorder="1" applyAlignment="1">
      <alignment vertical="center" wrapText="1"/>
    </xf>
    <xf numFmtId="0" fontId="6" fillId="0" borderId="6" xfId="0" applyNumberFormat="1" applyFont="1" applyFill="1" applyBorder="1" applyAlignment="1">
      <alignment vertical="center" wrapText="1"/>
    </xf>
    <xf numFmtId="9" fontId="6" fillId="0" borderId="8" xfId="0" applyNumberFormat="1" applyFont="1" applyFill="1" applyBorder="1" applyAlignment="1">
      <alignment vertical="center" wrapText="1"/>
    </xf>
    <xf numFmtId="0" fontId="6" fillId="0" borderId="9" xfId="0" applyNumberFormat="1" applyFont="1" applyFill="1" applyBorder="1" applyAlignment="1">
      <alignment vertical="center" wrapText="1"/>
    </xf>
    <xf numFmtId="0" fontId="10" fillId="0" borderId="5" xfId="0" applyNumberFormat="1" applyFont="1" applyFill="1" applyBorder="1" applyAlignment="1">
      <alignment vertical="center" wrapText="1"/>
    </xf>
    <xf numFmtId="0" fontId="10" fillId="0" borderId="8" xfId="0" applyNumberFormat="1" applyFont="1" applyFill="1" applyBorder="1" applyAlignment="1">
      <alignment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9" fillId="7" borderId="2" xfId="0" applyNumberFormat="1" applyFont="1" applyFill="1" applyBorder="1" applyAlignment="1">
      <alignment horizontal="center" vertical="center" wrapText="1"/>
    </xf>
    <xf numFmtId="0" fontId="9" fillId="7" borderId="3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vertical="center" wrapText="1"/>
    </xf>
    <xf numFmtId="0" fontId="10" fillId="0" borderId="9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vertical="center" wrapText="1"/>
    </xf>
    <xf numFmtId="0" fontId="13" fillId="11" borderId="1" xfId="0" applyNumberFormat="1" applyFont="1" applyFill="1" applyBorder="1" applyAlignment="1">
      <alignment horizontal="center" vertical="center" wrapText="1"/>
    </xf>
    <xf numFmtId="0" fontId="13" fillId="11" borderId="2" xfId="0" applyNumberFormat="1" applyFont="1" applyFill="1" applyBorder="1" applyAlignment="1">
      <alignment horizontal="center" vertical="center" wrapText="1"/>
    </xf>
    <xf numFmtId="0" fontId="13" fillId="11" borderId="3" xfId="0" applyNumberFormat="1" applyFont="1" applyFill="1" applyBorder="1" applyAlignment="1">
      <alignment horizontal="center" vertical="center" wrapText="1"/>
    </xf>
    <xf numFmtId="0" fontId="9" fillId="10" borderId="1" xfId="0" applyNumberFormat="1" applyFont="1" applyFill="1" applyBorder="1" applyAlignment="1">
      <alignment horizontal="center" vertical="center" wrapText="1"/>
    </xf>
    <xf numFmtId="0" fontId="9" fillId="10" borderId="2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0" fontId="15" fillId="13" borderId="5" xfId="0" applyNumberFormat="1" applyFont="1" applyFill="1" applyBorder="1" applyAlignment="1">
      <alignment horizontal="center" vertical="center" wrapText="1"/>
    </xf>
    <xf numFmtId="0" fontId="15" fillId="7" borderId="5" xfId="0" applyNumberFormat="1" applyFont="1" applyFill="1" applyBorder="1" applyAlignment="1">
      <alignment horizontal="center" vertical="center" wrapText="1"/>
    </xf>
    <xf numFmtId="0" fontId="15" fillId="8" borderId="5" xfId="0" applyNumberFormat="1" applyFont="1" applyFill="1" applyBorder="1" applyAlignment="1">
      <alignment horizontal="center" vertical="center" wrapText="1"/>
    </xf>
    <xf numFmtId="0" fontId="15" fillId="3" borderId="5" xfId="0" applyNumberFormat="1" applyFont="1" applyFill="1" applyBorder="1" applyAlignment="1">
      <alignment horizontal="center" vertical="center" wrapText="1"/>
    </xf>
    <xf numFmtId="0" fontId="15" fillId="3" borderId="6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vertical="center" wrapText="1"/>
    </xf>
    <xf numFmtId="0" fontId="16" fillId="0" borderId="5" xfId="0" applyNumberFormat="1" applyFont="1" applyFill="1" applyBorder="1" applyAlignment="1">
      <alignment vertical="center" wrapText="1"/>
    </xf>
    <xf numFmtId="0" fontId="17" fillId="0" borderId="5" xfId="0" applyNumberFormat="1" applyFont="1" applyFill="1" applyBorder="1" applyAlignment="1">
      <alignment vertical="center" wrapText="1"/>
    </xf>
    <xf numFmtId="0" fontId="16" fillId="14" borderId="5" xfId="0" applyNumberFormat="1" applyFont="1" applyFill="1" applyBorder="1" applyAlignment="1">
      <alignment vertical="center" wrapText="1"/>
    </xf>
    <xf numFmtId="0" fontId="16" fillId="15" borderId="5" xfId="0" applyNumberFormat="1" applyFont="1" applyFill="1" applyBorder="1" applyAlignment="1">
      <alignment vertical="center" wrapText="1"/>
    </xf>
    <xf numFmtId="0" fontId="16" fillId="16" borderId="5" xfId="0" applyNumberFormat="1" applyFont="1" applyFill="1" applyBorder="1" applyAlignment="1">
      <alignment vertical="center" wrapText="1"/>
    </xf>
    <xf numFmtId="0" fontId="16" fillId="17" borderId="5" xfId="0" applyNumberFormat="1" applyFont="1" applyFill="1" applyBorder="1" applyAlignment="1">
      <alignment vertical="center" wrapText="1"/>
    </xf>
    <xf numFmtId="0" fontId="16" fillId="16" borderId="6" xfId="0" applyNumberFormat="1" applyFont="1" applyFill="1" applyBorder="1" applyAlignment="1">
      <alignment vertical="center" wrapText="1"/>
    </xf>
    <xf numFmtId="0" fontId="16" fillId="0" borderId="7" xfId="0" applyNumberFormat="1" applyFont="1" applyFill="1" applyBorder="1" applyAlignment="1">
      <alignment vertical="center" wrapText="1"/>
    </xf>
    <xf numFmtId="0" fontId="16" fillId="0" borderId="8" xfId="0" applyNumberFormat="1" applyFont="1" applyFill="1" applyBorder="1" applyAlignment="1">
      <alignment vertical="center" wrapText="1"/>
    </xf>
    <xf numFmtId="0" fontId="17" fillId="0" borderId="8" xfId="0" applyNumberFormat="1" applyFont="1" applyFill="1" applyBorder="1" applyAlignment="1">
      <alignment vertical="center" wrapText="1"/>
    </xf>
    <xf numFmtId="0" fontId="16" fillId="14" borderId="8" xfId="0" applyNumberFormat="1" applyFont="1" applyFill="1" applyBorder="1" applyAlignment="1">
      <alignment vertical="center" wrapText="1"/>
    </xf>
    <xf numFmtId="0" fontId="16" fillId="15" borderId="8" xfId="0" applyNumberFormat="1" applyFont="1" applyFill="1" applyBorder="1" applyAlignment="1">
      <alignment vertical="center" wrapText="1"/>
    </xf>
    <xf numFmtId="0" fontId="16" fillId="16" borderId="8" xfId="0" applyNumberFormat="1" applyFont="1" applyFill="1" applyBorder="1" applyAlignment="1">
      <alignment vertical="center" wrapText="1"/>
    </xf>
    <xf numFmtId="0" fontId="16" fillId="17" borderId="8" xfId="0" applyNumberFormat="1" applyFont="1" applyFill="1" applyBorder="1" applyAlignment="1">
      <alignment vertical="center" wrapText="1"/>
    </xf>
    <xf numFmtId="0" fontId="16" fillId="16" borderId="9" xfId="0" applyNumberFormat="1" applyFont="1" applyFill="1" applyBorder="1" applyAlignment="1">
      <alignment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2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vertical="top" wrapText="1"/>
    </xf>
    <xf numFmtId="0" fontId="16" fillId="0" borderId="5" xfId="0" applyNumberFormat="1" applyFont="1" applyFill="1" applyBorder="1" applyAlignment="1">
      <alignment vertical="top" wrapText="1"/>
    </xf>
    <xf numFmtId="0" fontId="17" fillId="0" borderId="5" xfId="0" applyNumberFormat="1" applyFont="1" applyFill="1" applyBorder="1" applyAlignment="1">
      <alignment vertical="top" wrapText="1"/>
    </xf>
    <xf numFmtId="164" fontId="16" fillId="0" borderId="5" xfId="0" applyNumberFormat="1" applyFont="1" applyFill="1" applyBorder="1" applyAlignment="1">
      <alignment vertical="top" wrapText="1"/>
    </xf>
    <xf numFmtId="166" fontId="16" fillId="0" borderId="5" xfId="0" applyNumberFormat="1" applyFont="1" applyFill="1" applyBorder="1" applyAlignment="1">
      <alignment vertical="top" wrapText="1"/>
    </xf>
    <xf numFmtId="0" fontId="16" fillId="0" borderId="6" xfId="0" applyNumberFormat="1" applyFont="1" applyFill="1" applyBorder="1" applyAlignment="1">
      <alignment vertical="top" wrapText="1"/>
    </xf>
    <xf numFmtId="0" fontId="16" fillId="0" borderId="7" xfId="0" applyNumberFormat="1" applyFont="1" applyFill="1" applyBorder="1" applyAlignment="1">
      <alignment vertical="top" wrapText="1"/>
    </xf>
    <xf numFmtId="0" fontId="16" fillId="0" borderId="8" xfId="0" applyNumberFormat="1" applyFont="1" applyFill="1" applyBorder="1" applyAlignment="1">
      <alignment vertical="top" wrapText="1"/>
    </xf>
    <xf numFmtId="0" fontId="17" fillId="0" borderId="8" xfId="0" applyNumberFormat="1" applyFont="1" applyFill="1" applyBorder="1" applyAlignment="1">
      <alignment vertical="top" wrapText="1"/>
    </xf>
    <xf numFmtId="164" fontId="16" fillId="0" borderId="8" xfId="0" applyNumberFormat="1" applyFont="1" applyFill="1" applyBorder="1" applyAlignment="1">
      <alignment vertical="top" wrapText="1"/>
    </xf>
    <xf numFmtId="166" fontId="16" fillId="0" borderId="8" xfId="0" applyNumberFormat="1" applyFont="1" applyFill="1" applyBorder="1" applyAlignment="1">
      <alignment vertical="top" wrapText="1"/>
    </xf>
    <xf numFmtId="0" fontId="16" fillId="0" borderId="9" xfId="0" applyNumberFormat="1" applyFont="1" applyFill="1" applyBorder="1" applyAlignment="1">
      <alignment vertical="top" wrapText="1"/>
    </xf>
    <xf numFmtId="164" fontId="6" fillId="0" borderId="8" xfId="0" applyNumberFormat="1" applyFont="1" applyFill="1" applyBorder="1" applyAlignment="1">
      <alignment vertical="center" wrapText="1"/>
    </xf>
    <xf numFmtId="0" fontId="6" fillId="0" borderId="4" xfId="0" applyNumberFormat="1" applyFont="1" applyFill="1" applyBorder="1" applyAlignment="1">
      <alignment vertical="top" wrapText="1"/>
    </xf>
    <xf numFmtId="164" fontId="6" fillId="0" borderId="5" xfId="0" applyNumberFormat="1" applyFont="1" applyFill="1" applyBorder="1" applyAlignment="1">
      <alignment vertical="top" wrapText="1"/>
    </xf>
    <xf numFmtId="0" fontId="6" fillId="0" borderId="5" xfId="0" applyNumberFormat="1" applyFont="1" applyFill="1" applyBorder="1" applyAlignment="1">
      <alignment vertical="top" wrapText="1"/>
    </xf>
    <xf numFmtId="0" fontId="17" fillId="0" borderId="6" xfId="0" applyNumberFormat="1" applyFont="1" applyFill="1" applyBorder="1" applyAlignment="1">
      <alignment vertical="top" wrapText="1"/>
    </xf>
    <xf numFmtId="0" fontId="6" fillId="0" borderId="7" xfId="0" applyNumberFormat="1" applyFont="1" applyFill="1" applyBorder="1" applyAlignment="1">
      <alignment vertical="top" wrapText="1"/>
    </xf>
    <xf numFmtId="164" fontId="6" fillId="0" borderId="8" xfId="0" applyNumberFormat="1" applyFont="1" applyFill="1" applyBorder="1" applyAlignment="1">
      <alignment vertical="top" wrapText="1"/>
    </xf>
    <xf numFmtId="0" fontId="6" fillId="0" borderId="8" xfId="0" applyNumberFormat="1" applyFont="1" applyFill="1" applyBorder="1" applyAlignment="1">
      <alignment vertical="top" wrapText="1"/>
    </xf>
    <xf numFmtId="0" fontId="17" fillId="0" borderId="9" xfId="0" applyNumberFormat="1" applyFont="1" applyFill="1" applyBorder="1" applyAlignment="1">
      <alignment vertical="top" wrapText="1"/>
    </xf>
    <xf numFmtId="0" fontId="6" fillId="7" borderId="5" xfId="0" applyNumberFormat="1" applyFont="1" applyFill="1" applyBorder="1" applyAlignment="1">
      <alignment vertical="top" wrapText="1"/>
    </xf>
    <xf numFmtId="0" fontId="6" fillId="13" borderId="5" xfId="0" applyNumberFormat="1" applyFont="1" applyFill="1" applyBorder="1" applyAlignment="1">
      <alignment vertical="top" wrapText="1"/>
    </xf>
    <xf numFmtId="0" fontId="6" fillId="8" borderId="8" xfId="0" applyNumberFormat="1" applyFont="1" applyFill="1" applyBorder="1" applyAlignment="1">
      <alignment vertical="top" wrapText="1"/>
    </xf>
    <xf numFmtId="0" fontId="6" fillId="8" borderId="5" xfId="0" applyNumberFormat="1" applyFont="1" applyFill="1" applyBorder="1" applyAlignment="1">
      <alignment vertical="top" wrapText="1"/>
    </xf>
    <xf numFmtId="0" fontId="6" fillId="3" borderId="5" xfId="0" applyNumberFormat="1" applyFont="1" applyFill="1" applyBorder="1" applyAlignment="1">
      <alignment vertical="top" wrapText="1"/>
    </xf>
    <xf numFmtId="0" fontId="6" fillId="12" borderId="5" xfId="0" applyNumberFormat="1" applyFont="1" applyFill="1" applyBorder="1" applyAlignment="1">
      <alignment vertical="top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9" fillId="3" borderId="2" xfId="0" applyNumberFormat="1" applyFont="1" applyFill="1" applyBorder="1" applyAlignment="1">
      <alignment horizontal="center" vertical="center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vertical="top" wrapText="1"/>
    </xf>
    <xf numFmtId="0" fontId="6" fillId="0" borderId="9" xfId="0" applyNumberFormat="1" applyFont="1" applyFill="1" applyBorder="1" applyAlignment="1">
      <alignment vertical="top" wrapText="1"/>
    </xf>
    <xf numFmtId="1" fontId="16" fillId="0" borderId="5" xfId="0" applyNumberFormat="1" applyFont="1" applyFill="1" applyBorder="1" applyAlignment="1">
      <alignment vertical="top" wrapText="1"/>
    </xf>
    <xf numFmtId="0" fontId="24" fillId="22" borderId="0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vertical="top" wrapText="1"/>
    </xf>
    <xf numFmtId="0" fontId="6" fillId="0" borderId="0" xfId="0" applyNumberFormat="1" applyFont="1" applyFill="1" applyAlignment="1">
      <alignment vertical="top" wrapText="1"/>
    </xf>
    <xf numFmtId="0" fontId="6" fillId="0" borderId="16" xfId="0" applyNumberFormat="1" applyFont="1" applyFill="1" applyBorder="1" applyAlignment="1">
      <alignment vertical="top" wrapText="1"/>
    </xf>
    <xf numFmtId="0" fontId="6" fillId="0" borderId="10" xfId="0" applyNumberFormat="1" applyFont="1" applyFill="1" applyBorder="1" applyAlignment="1">
      <alignment horizontal="center" vertical="top" wrapText="1"/>
    </xf>
    <xf numFmtId="0" fontId="6" fillId="0" borderId="13" xfId="0" applyNumberFormat="1" applyFont="1" applyFill="1" applyBorder="1" applyAlignment="1">
      <alignment horizontal="center" vertical="top" wrapText="1"/>
    </xf>
    <xf numFmtId="0" fontId="6" fillId="0" borderId="15" xfId="0" applyNumberFormat="1" applyFont="1" applyFill="1" applyBorder="1" applyAlignment="1">
      <alignment horizontal="center" vertical="top" wrapText="1"/>
    </xf>
    <xf numFmtId="0" fontId="6" fillId="0" borderId="11" xfId="0" applyNumberFormat="1" applyFont="1" applyFill="1" applyBorder="1" applyAlignment="1">
      <alignment horizontal="center" vertical="top" wrapText="1"/>
    </xf>
    <xf numFmtId="167" fontId="6" fillId="0" borderId="12" xfId="0" applyNumberFormat="1" applyFont="1" applyFill="1" applyBorder="1" applyAlignment="1">
      <alignment horizontal="center" vertical="top" wrapText="1"/>
    </xf>
    <xf numFmtId="0" fontId="6" fillId="0" borderId="0" xfId="0" applyNumberFormat="1" applyFont="1" applyFill="1" applyAlignment="1">
      <alignment horizontal="center" vertical="top" wrapText="1"/>
    </xf>
    <xf numFmtId="167" fontId="6" fillId="0" borderId="14" xfId="0" applyNumberFormat="1" applyFont="1" applyFill="1" applyBorder="1" applyAlignment="1">
      <alignment horizontal="center" vertical="top" wrapText="1"/>
    </xf>
    <xf numFmtId="0" fontId="6" fillId="0" borderId="16" xfId="0" applyNumberFormat="1" applyFont="1" applyFill="1" applyBorder="1" applyAlignment="1">
      <alignment horizontal="center" vertical="top" wrapText="1"/>
    </xf>
    <xf numFmtId="167" fontId="6" fillId="0" borderId="17" xfId="0" applyNumberFormat="1" applyFont="1" applyFill="1" applyBorder="1" applyAlignment="1">
      <alignment horizontal="center" vertical="top" wrapText="1"/>
    </xf>
    <xf numFmtId="0" fontId="26" fillId="20" borderId="0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Border="1" applyAlignment="1">
      <alignment wrapText="1"/>
    </xf>
    <xf numFmtId="164" fontId="16" fillId="0" borderId="5" xfId="0" applyNumberFormat="1" applyFont="1" applyFill="1" applyBorder="1" applyAlignment="1">
      <alignment vertical="top" wrapText="1"/>
    </xf>
    <xf numFmtId="0" fontId="13" fillId="28" borderId="0" xfId="0" applyNumberFormat="1" applyFont="1" applyFill="1" applyBorder="1" applyAlignment="1">
      <alignment horizontal="center" vertical="center" wrapText="1"/>
    </xf>
    <xf numFmtId="0" fontId="31" fillId="29" borderId="0" xfId="0" applyNumberFormat="1" applyFont="1" applyFill="1" applyBorder="1" applyAlignment="1">
      <alignment horizontal="center" vertical="top" wrapText="1"/>
    </xf>
    <xf numFmtId="0" fontId="31" fillId="29" borderId="0" xfId="0" applyNumberFormat="1" applyFont="1" applyFill="1" applyBorder="1" applyAlignment="1">
      <alignment vertical="top" wrapText="1"/>
    </xf>
    <xf numFmtId="0" fontId="31" fillId="29" borderId="18" xfId="0" applyNumberFormat="1" applyFont="1" applyFill="1" applyBorder="1" applyAlignment="1">
      <alignment horizontal="center" vertical="top" wrapText="1"/>
    </xf>
    <xf numFmtId="0" fontId="31" fillId="29" borderId="19" xfId="0" applyNumberFormat="1" applyFont="1" applyFill="1" applyBorder="1" applyAlignment="1">
      <alignment vertical="top" wrapText="1"/>
    </xf>
    <xf numFmtId="0" fontId="31" fillId="29" borderId="19" xfId="0" applyNumberFormat="1" applyFont="1" applyFill="1" applyBorder="1" applyAlignment="1">
      <alignment horizontal="center" vertical="top" wrapText="1"/>
    </xf>
    <xf numFmtId="0" fontId="31" fillId="29" borderId="21" xfId="0" applyNumberFormat="1" applyFont="1" applyFill="1" applyBorder="1" applyAlignment="1">
      <alignment horizontal="center" vertical="top" wrapText="1"/>
    </xf>
    <xf numFmtId="0" fontId="31" fillId="29" borderId="23" xfId="0" applyNumberFormat="1" applyFont="1" applyFill="1" applyBorder="1" applyAlignment="1">
      <alignment horizontal="center" vertical="top" wrapText="1"/>
    </xf>
    <xf numFmtId="0" fontId="31" fillId="29" borderId="24" xfId="0" applyNumberFormat="1" applyFont="1" applyFill="1" applyBorder="1" applyAlignment="1">
      <alignment vertical="top" wrapText="1"/>
    </xf>
    <xf numFmtId="0" fontId="31" fillId="29" borderId="24" xfId="0" applyNumberFormat="1" applyFont="1" applyFill="1" applyBorder="1" applyAlignment="1">
      <alignment horizontal="center" vertical="top" wrapText="1"/>
    </xf>
    <xf numFmtId="0" fontId="32" fillId="29" borderId="19" xfId="0" applyNumberFormat="1" applyFont="1" applyFill="1" applyBorder="1" applyAlignment="1">
      <alignment vertical="top" wrapText="1"/>
    </xf>
    <xf numFmtId="0" fontId="32" fillId="29" borderId="0" xfId="0" applyNumberFormat="1" applyFont="1" applyFill="1" applyBorder="1" applyAlignment="1">
      <alignment vertical="top" wrapText="1"/>
    </xf>
    <xf numFmtId="0" fontId="32" fillId="29" borderId="24" xfId="0" applyNumberFormat="1" applyFont="1" applyFill="1" applyBorder="1" applyAlignment="1">
      <alignment vertical="top" wrapText="1"/>
    </xf>
    <xf numFmtId="167" fontId="32" fillId="29" borderId="20" xfId="0" applyNumberFormat="1" applyFont="1" applyFill="1" applyBorder="1" applyAlignment="1">
      <alignment horizontal="center" vertical="top" wrapText="1"/>
    </xf>
    <xf numFmtId="167" fontId="32" fillId="29" borderId="22" xfId="0" applyNumberFormat="1" applyFont="1" applyFill="1" applyBorder="1" applyAlignment="1">
      <alignment horizontal="center" vertical="top" wrapText="1"/>
    </xf>
    <xf numFmtId="167" fontId="32" fillId="29" borderId="25" xfId="0" applyNumberFormat="1" applyFont="1" applyFill="1" applyBorder="1" applyAlignment="1">
      <alignment horizontal="center" vertical="top" wrapText="1"/>
    </xf>
    <xf numFmtId="0" fontId="33" fillId="26" borderId="26" xfId="0" applyNumberFormat="1" applyFont="1" applyFill="1" applyBorder="1" applyAlignment="1">
      <alignment horizontal="center" vertical="center" wrapText="1"/>
    </xf>
    <xf numFmtId="0" fontId="33" fillId="26" borderId="29" xfId="0" applyNumberFormat="1" applyFont="1" applyFill="1" applyBorder="1" applyAlignment="1">
      <alignment horizontal="center" vertical="center" wrapText="1"/>
    </xf>
    <xf numFmtId="0" fontId="33" fillId="26" borderId="31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vertical="center" wrapText="1"/>
    </xf>
    <xf numFmtId="0" fontId="10" fillId="0" borderId="8" xfId="0" applyNumberFormat="1" applyFont="1" applyFill="1" applyBorder="1" applyAlignment="1">
      <alignment vertical="center" wrapText="1"/>
    </xf>
    <xf numFmtId="0" fontId="6" fillId="0" borderId="9" xfId="0" applyNumberFormat="1" applyFont="1" applyFill="1" applyBorder="1" applyAlignment="1">
      <alignment vertical="center" wrapText="1"/>
    </xf>
    <xf numFmtId="0" fontId="14" fillId="8" borderId="0" xfId="0" applyNumberFormat="1" applyFont="1" applyFill="1" applyBorder="1" applyAlignment="1">
      <alignment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10" fillId="0" borderId="5" xfId="0" applyNumberFormat="1" applyFont="1" applyFill="1" applyBorder="1" applyAlignment="1">
      <alignment vertical="center" wrapText="1"/>
    </xf>
    <xf numFmtId="0" fontId="6" fillId="0" borderId="6" xfId="0" applyNumberFormat="1" applyFont="1" applyFill="1" applyBorder="1" applyAlignment="1">
      <alignment vertical="center" wrapText="1"/>
    </xf>
    <xf numFmtId="0" fontId="13" fillId="11" borderId="2" xfId="0" applyNumberFormat="1" applyFont="1" applyFill="1" applyBorder="1" applyAlignment="1">
      <alignment horizontal="center" vertical="center" wrapText="1"/>
    </xf>
    <xf numFmtId="0" fontId="13" fillId="11" borderId="3" xfId="0" applyNumberFormat="1" applyFont="1" applyFill="1" applyBorder="1" applyAlignment="1">
      <alignment horizontal="center" vertical="center" wrapText="1"/>
    </xf>
    <xf numFmtId="0" fontId="11" fillId="6" borderId="1" xfId="0" applyNumberFormat="1" applyFont="1" applyFill="1" applyBorder="1" applyAlignment="1">
      <alignment horizontal="center" vertical="center"/>
    </xf>
    <xf numFmtId="0" fontId="11" fillId="6" borderId="2" xfId="0" applyNumberFormat="1" applyFont="1" applyFill="1" applyBorder="1" applyAlignment="1">
      <alignment horizontal="center" vertical="center"/>
    </xf>
    <xf numFmtId="0" fontId="11" fillId="6" borderId="3" xfId="0" applyNumberFormat="1" applyFont="1" applyFill="1" applyBorder="1" applyAlignment="1">
      <alignment horizontal="center" vertical="center"/>
    </xf>
    <xf numFmtId="0" fontId="12" fillId="10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vertical="center" wrapText="1"/>
    </xf>
    <xf numFmtId="0" fontId="7" fillId="7" borderId="0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Border="1" applyAlignment="1">
      <alignment horizontal="center" vertical="center"/>
    </xf>
    <xf numFmtId="9" fontId="8" fillId="8" borderId="0" xfId="0" applyNumberFormat="1" applyFont="1" applyFill="1" applyBorder="1" applyAlignment="1">
      <alignment horizontal="center" vertical="center"/>
    </xf>
    <xf numFmtId="0" fontId="8" fillId="8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/>
    </xf>
    <xf numFmtId="0" fontId="11" fillId="7" borderId="2" xfId="0" applyNumberFormat="1" applyFont="1" applyFill="1" applyBorder="1" applyAlignment="1">
      <alignment horizontal="center" vertical="center"/>
    </xf>
    <xf numFmtId="0" fontId="11" fillId="12" borderId="2" xfId="0" applyNumberFormat="1" applyFont="1" applyFill="1" applyBorder="1" applyAlignment="1">
      <alignment horizontal="center" vertical="center"/>
    </xf>
    <xf numFmtId="0" fontId="11" fillId="12" borderId="3" xfId="0" applyNumberFormat="1" applyFont="1" applyFill="1" applyBorder="1" applyAlignment="1">
      <alignment horizontal="center" vertical="center"/>
    </xf>
    <xf numFmtId="0" fontId="19" fillId="13" borderId="0" xfId="0" applyNumberFormat="1" applyFont="1" applyFill="1" applyBorder="1" applyAlignment="1">
      <alignment horizontal="center" vertical="center" wrapText="1"/>
    </xf>
    <xf numFmtId="0" fontId="14" fillId="8" borderId="0" xfId="0" applyNumberFormat="1" applyFont="1" applyFill="1" applyBorder="1" applyAlignment="1">
      <alignment horizontal="center" vertical="center" wrapText="1"/>
    </xf>
    <xf numFmtId="0" fontId="14" fillId="3" borderId="0" xfId="0" applyNumberFormat="1" applyFont="1" applyFill="1" applyBorder="1" applyAlignment="1">
      <alignment vertical="center" wrapText="1"/>
    </xf>
    <xf numFmtId="0" fontId="20" fillId="18" borderId="0" xfId="0" applyNumberFormat="1" applyFont="1" applyFill="1" applyBorder="1" applyAlignment="1">
      <alignment horizontal="center" vertical="center"/>
    </xf>
    <xf numFmtId="0" fontId="27" fillId="23" borderId="0" xfId="0" applyNumberFormat="1" applyFont="1" applyFill="1" applyBorder="1" applyAlignment="1">
      <alignment vertical="top" wrapText="1"/>
    </xf>
    <xf numFmtId="0" fontId="21" fillId="19" borderId="0" xfId="0" applyNumberFormat="1" applyFont="1" applyFill="1" applyBorder="1" applyAlignment="1">
      <alignment horizontal="center" vertical="center"/>
    </xf>
    <xf numFmtId="0" fontId="22" fillId="20" borderId="0" xfId="0" applyNumberFormat="1" applyFont="1" applyFill="1" applyBorder="1" applyAlignment="1">
      <alignment horizontal="center" vertical="center"/>
    </xf>
    <xf numFmtId="0" fontId="23" fillId="21" borderId="0" xfId="0" applyNumberFormat="1" applyFont="1" applyFill="1" applyBorder="1" applyAlignment="1">
      <alignment horizontal="center" vertical="center"/>
    </xf>
    <xf numFmtId="0" fontId="25" fillId="19" borderId="0" xfId="0" applyNumberFormat="1" applyFont="1" applyFill="1" applyBorder="1" applyAlignment="1">
      <alignment horizontal="center" vertical="center"/>
    </xf>
    <xf numFmtId="0" fontId="31" fillId="0" borderId="27" xfId="0" applyNumberFormat="1" applyFont="1" applyFill="1" applyBorder="1" applyAlignment="1">
      <alignment vertical="center" wrapText="1"/>
    </xf>
    <xf numFmtId="0" fontId="31" fillId="0" borderId="28" xfId="0" applyNumberFormat="1" applyFont="1" applyFill="1" applyBorder="1" applyAlignment="1">
      <alignment vertical="center" wrapText="1"/>
    </xf>
    <xf numFmtId="0" fontId="31" fillId="0" borderId="0" xfId="0" applyNumberFormat="1" applyFont="1" applyFill="1" applyBorder="1" applyAlignment="1">
      <alignment vertical="center" wrapText="1"/>
    </xf>
    <xf numFmtId="0" fontId="31" fillId="0" borderId="30" xfId="0" applyNumberFormat="1" applyFont="1" applyFill="1" applyBorder="1" applyAlignment="1">
      <alignment vertical="center" wrapText="1"/>
    </xf>
    <xf numFmtId="0" fontId="31" fillId="0" borderId="32" xfId="0" applyNumberFormat="1" applyFont="1" applyFill="1" applyBorder="1" applyAlignment="1">
      <alignment vertical="center" wrapText="1"/>
    </xf>
    <xf numFmtId="0" fontId="31" fillId="0" borderId="33" xfId="0" applyNumberFormat="1" applyFont="1" applyFill="1" applyBorder="1" applyAlignment="1">
      <alignment vertical="center" wrapText="1"/>
    </xf>
    <xf numFmtId="0" fontId="28" fillId="25" borderId="0" xfId="0" applyNumberFormat="1" applyFont="1" applyFill="1" applyBorder="1" applyAlignment="1">
      <alignment horizontal="center" vertical="center"/>
    </xf>
    <xf numFmtId="0" fontId="29" fillId="26" borderId="0" xfId="0" applyNumberFormat="1" applyFont="1" applyFill="1" applyBorder="1" applyAlignment="1">
      <alignment horizontal="center" vertical="center"/>
    </xf>
    <xf numFmtId="0" fontId="3" fillId="27" borderId="0" xfId="0" applyNumberFormat="1" applyFont="1" applyFill="1" applyBorder="1" applyAlignment="1">
      <alignment horizontal="center" vertical="center"/>
    </xf>
    <xf numFmtId="0" fontId="30" fillId="24" borderId="0" xfId="0" applyNumberFormat="1" applyFont="1" applyFill="1" applyBorder="1" applyAlignment="1">
      <alignment horizontal="center" vertical="center" wrapText="1"/>
    </xf>
    <xf numFmtId="0" fontId="4" fillId="25" borderId="0" xfId="0" applyNumberFormat="1" applyFont="1" applyFill="1" applyBorder="1" applyAlignment="1">
      <alignment horizontal="center" vertical="center" wrapText="1"/>
    </xf>
    <xf numFmtId="0" fontId="16" fillId="1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B5394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15E21"/>
      </font>
      <fill>
        <patternFill>
          <bgColor rgb="FFDDEFD4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zoomScaleNormal="100" zoomScaleSheetLayoutView="100" workbookViewId="0"/>
  </sheetViews>
  <sheetFormatPr defaultRowHeight="15" x14ac:dyDescent="0.2"/>
  <cols>
    <col min="1" max="1" width="18.0234375" customWidth="1"/>
    <col min="2" max="2" width="22.05859375" customWidth="1"/>
    <col min="3" max="3" width="4.9765625" customWidth="1"/>
    <col min="4" max="4" width="13.98828125" customWidth="1"/>
    <col min="5" max="9" width="18.0234375" customWidth="1"/>
    <col min="10" max="10" width="22.05859375" customWidth="1"/>
  </cols>
  <sheetData>
    <row r="1" spans="1:10" ht="30" customHeight="1" x14ac:dyDescent="0.2">
      <c r="A1" s="147" t="s">
        <v>0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7.95" customHeight="1" x14ac:dyDescent="0.2">
      <c r="A2" s="148" t="s">
        <v>1</v>
      </c>
      <c r="B2" s="148"/>
      <c r="C2" s="148"/>
      <c r="D2" s="148"/>
      <c r="E2" s="148"/>
      <c r="F2" s="148"/>
      <c r="G2" s="148"/>
      <c r="H2" s="148"/>
      <c r="I2" s="148"/>
      <c r="J2" s="148"/>
    </row>
    <row r="3" spans="1:10" ht="27.95" customHeight="1" x14ac:dyDescent="0.2">
      <c r="A3" s="149" t="s">
        <v>2</v>
      </c>
      <c r="B3" s="149"/>
      <c r="C3" s="149"/>
      <c r="D3" s="149"/>
      <c r="E3" s="149"/>
      <c r="F3" s="149"/>
      <c r="G3" s="149"/>
      <c r="H3" s="149"/>
      <c r="I3" s="149"/>
      <c r="J3" s="149"/>
    </row>
    <row r="5" spans="1:10" x14ac:dyDescent="0.2">
      <c r="A5" s="140" t="s">
        <v>3</v>
      </c>
      <c r="B5" s="140"/>
      <c r="C5" s="140"/>
      <c r="D5" s="146" t="s">
        <v>4</v>
      </c>
      <c r="E5" s="146"/>
      <c r="F5" s="146" t="s">
        <v>5</v>
      </c>
      <c r="G5" s="146"/>
      <c r="H5" s="146" t="s">
        <v>6</v>
      </c>
      <c r="I5" s="146"/>
      <c r="J5" s="1" t="s">
        <v>7</v>
      </c>
    </row>
    <row r="6" spans="1:10" ht="19.5" x14ac:dyDescent="0.2">
      <c r="A6" s="2" t="s">
        <v>8</v>
      </c>
      <c r="B6" s="3">
        <v>46274</v>
      </c>
      <c r="C6" s="4"/>
      <c r="D6" s="142">
        <f>COUNTA(វាយតម្លៃក្រុម!B8:B27)</f>
        <v>6</v>
      </c>
      <c r="E6" s="142"/>
      <c r="F6" s="143">
        <f>IF(COUNT(វាយតម្លៃក្រុម!AM8:AM27)=0,"",AVERAGE(វាយតម្លៃក្រុម!AM8:AM27))</f>
        <v>84.416666666666671</v>
      </c>
      <c r="G6" s="142"/>
      <c r="H6" s="142">
        <f>COUNTA(តាមដានការងារ!C6:C65)</f>
        <v>43</v>
      </c>
      <c r="I6" s="142"/>
      <c r="J6" s="144">
        <f>IFERROR(COUNTIF(តាមដានការងារ!K6:K65,"បានបញ្ចប់")/COUNTA(តាមដានការងារ!C6:C65),0)</f>
        <v>0.55813953488372092</v>
      </c>
    </row>
    <row r="7" spans="1:10" ht="19.5" x14ac:dyDescent="0.2">
      <c r="A7" s="5" t="s">
        <v>9</v>
      </c>
      <c r="B7" s="6">
        <v>46357</v>
      </c>
      <c r="C7" s="7"/>
      <c r="D7" s="142"/>
      <c r="E7" s="142"/>
      <c r="F7" s="142"/>
      <c r="G7" s="142"/>
      <c r="H7" s="142"/>
      <c r="I7" s="142"/>
      <c r="J7" s="145"/>
    </row>
    <row r="8" spans="1:10" ht="19.5" x14ac:dyDescent="0.2">
      <c r="A8" s="5" t="s">
        <v>10</v>
      </c>
      <c r="B8" s="8" t="s">
        <v>11</v>
      </c>
      <c r="C8" s="7"/>
    </row>
    <row r="9" spans="1:10" ht="19.5" x14ac:dyDescent="0.2">
      <c r="A9" s="9" t="s">
        <v>12</v>
      </c>
      <c r="B9" s="10" t="s">
        <v>13</v>
      </c>
      <c r="C9" s="11"/>
    </row>
    <row r="11" spans="1:10" x14ac:dyDescent="0.2">
      <c r="A11" s="140" t="s">
        <v>14</v>
      </c>
      <c r="B11" s="140"/>
      <c r="C11" s="140"/>
      <c r="D11" s="140"/>
      <c r="E11" s="140"/>
      <c r="G11" s="146" t="s">
        <v>15</v>
      </c>
      <c r="H11" s="146"/>
      <c r="I11" s="146"/>
      <c r="J11" s="146"/>
    </row>
    <row r="12" spans="1:10" ht="19.5" x14ac:dyDescent="0.2">
      <c r="A12" s="12" t="s">
        <v>16</v>
      </c>
      <c r="B12" s="13" t="s">
        <v>17</v>
      </c>
      <c r="C12" s="13" t="s">
        <v>18</v>
      </c>
      <c r="D12" s="13" t="s">
        <v>19</v>
      </c>
      <c r="E12" s="14" t="s">
        <v>20</v>
      </c>
      <c r="G12" s="21" t="s">
        <v>21</v>
      </c>
      <c r="H12" s="22" t="s">
        <v>22</v>
      </c>
      <c r="I12" s="22" t="s">
        <v>23</v>
      </c>
      <c r="J12" s="23" t="s">
        <v>24</v>
      </c>
    </row>
    <row r="13" spans="1:10" ht="30" x14ac:dyDescent="0.2">
      <c r="A13" s="5">
        <v>1</v>
      </c>
      <c r="B13" s="8" t="s">
        <v>25</v>
      </c>
      <c r="C13" s="15">
        <v>0.1</v>
      </c>
      <c r="D13" s="19" t="s">
        <v>26</v>
      </c>
      <c r="E13" s="16" t="s">
        <v>27</v>
      </c>
      <c r="G13" s="5" t="s">
        <v>28</v>
      </c>
      <c r="H13" s="8" t="s">
        <v>29</v>
      </c>
      <c r="I13" s="8" t="s">
        <v>30</v>
      </c>
      <c r="J13" s="24" t="s">
        <v>31</v>
      </c>
    </row>
    <row r="14" spans="1:10" ht="23.25" x14ac:dyDescent="0.2">
      <c r="A14" s="5">
        <v>2</v>
      </c>
      <c r="B14" s="8" t="s">
        <v>32</v>
      </c>
      <c r="C14" s="15">
        <v>0.1</v>
      </c>
      <c r="D14" s="19" t="s">
        <v>33</v>
      </c>
      <c r="E14" s="16" t="s">
        <v>34</v>
      </c>
      <c r="G14" s="5" t="s">
        <v>35</v>
      </c>
      <c r="H14" s="8" t="s">
        <v>36</v>
      </c>
      <c r="I14" s="8" t="s">
        <v>37</v>
      </c>
      <c r="J14" s="24" t="s">
        <v>38</v>
      </c>
    </row>
    <row r="15" spans="1:10" ht="34.5" x14ac:dyDescent="0.2">
      <c r="A15" s="5">
        <v>3</v>
      </c>
      <c r="B15" s="8" t="s">
        <v>39</v>
      </c>
      <c r="C15" s="15">
        <v>0.25</v>
      </c>
      <c r="D15" s="19" t="s">
        <v>40</v>
      </c>
      <c r="E15" s="16" t="s">
        <v>34</v>
      </c>
      <c r="G15" s="5" t="s">
        <v>41</v>
      </c>
      <c r="H15" s="8" t="s">
        <v>42</v>
      </c>
      <c r="I15" s="8" t="s">
        <v>43</v>
      </c>
      <c r="J15" s="24" t="s">
        <v>44</v>
      </c>
    </row>
    <row r="16" spans="1:10" ht="23.25" x14ac:dyDescent="0.2">
      <c r="A16" s="5">
        <v>4</v>
      </c>
      <c r="B16" s="8" t="s">
        <v>45</v>
      </c>
      <c r="C16" s="15">
        <v>0.1</v>
      </c>
      <c r="D16" s="19" t="s">
        <v>40</v>
      </c>
      <c r="E16" s="16" t="s">
        <v>34</v>
      </c>
      <c r="G16" s="5" t="s">
        <v>46</v>
      </c>
      <c r="H16" s="8" t="s">
        <v>47</v>
      </c>
      <c r="I16" s="8" t="s">
        <v>48</v>
      </c>
      <c r="J16" s="24" t="s">
        <v>49</v>
      </c>
    </row>
    <row r="17" spans="1:10" ht="23.25" x14ac:dyDescent="0.2">
      <c r="A17" s="5">
        <v>5</v>
      </c>
      <c r="B17" s="8" t="s">
        <v>50</v>
      </c>
      <c r="C17" s="15">
        <v>0.15</v>
      </c>
      <c r="D17" s="19" t="s">
        <v>51</v>
      </c>
      <c r="E17" s="16" t="s">
        <v>34</v>
      </c>
      <c r="G17" s="5" t="s">
        <v>52</v>
      </c>
      <c r="H17" s="8" t="s">
        <v>53</v>
      </c>
      <c r="I17" s="8" t="s">
        <v>54</v>
      </c>
      <c r="J17" s="24" t="s">
        <v>55</v>
      </c>
    </row>
    <row r="18" spans="1:10" ht="34.5" x14ac:dyDescent="0.2">
      <c r="A18" s="5">
        <v>6</v>
      </c>
      <c r="B18" s="8" t="s">
        <v>56</v>
      </c>
      <c r="C18" s="15">
        <v>0.1</v>
      </c>
      <c r="D18" s="19" t="s">
        <v>57</v>
      </c>
      <c r="E18" s="16" t="s">
        <v>34</v>
      </c>
      <c r="G18" s="9" t="s">
        <v>58</v>
      </c>
      <c r="H18" s="10" t="s">
        <v>59</v>
      </c>
      <c r="I18" s="10" t="s">
        <v>60</v>
      </c>
      <c r="J18" s="25" t="s">
        <v>61</v>
      </c>
    </row>
    <row r="19" spans="1:10" x14ac:dyDescent="0.2">
      <c r="A19" s="5">
        <v>7</v>
      </c>
      <c r="B19" s="8" t="s">
        <v>62</v>
      </c>
      <c r="C19" s="15">
        <v>0.05</v>
      </c>
      <c r="D19" s="19" t="s">
        <v>63</v>
      </c>
      <c r="E19" s="16" t="s">
        <v>34</v>
      </c>
    </row>
    <row r="20" spans="1:10" x14ac:dyDescent="0.2">
      <c r="A20" s="5">
        <v>8</v>
      </c>
      <c r="B20" s="8" t="s">
        <v>64</v>
      </c>
      <c r="C20" s="15">
        <v>0.05</v>
      </c>
      <c r="D20" s="19" t="s">
        <v>65</v>
      </c>
      <c r="E20" s="16" t="s">
        <v>34</v>
      </c>
      <c r="G20" s="136" t="s">
        <v>66</v>
      </c>
      <c r="H20" s="137"/>
      <c r="I20" s="137"/>
      <c r="J20" s="138"/>
    </row>
    <row r="21" spans="1:10" ht="19.5" x14ac:dyDescent="0.2">
      <c r="A21" s="5">
        <v>9</v>
      </c>
      <c r="B21" s="8" t="s">
        <v>67</v>
      </c>
      <c r="C21" s="15">
        <v>0.05</v>
      </c>
      <c r="D21" s="19" t="s">
        <v>68</v>
      </c>
      <c r="E21" s="16" t="s">
        <v>34</v>
      </c>
      <c r="G21" s="5" t="s">
        <v>69</v>
      </c>
      <c r="H21" s="8" t="s">
        <v>70</v>
      </c>
      <c r="I21" s="8" t="s">
        <v>71</v>
      </c>
      <c r="J21" s="16" t="s">
        <v>72</v>
      </c>
    </row>
    <row r="22" spans="1:10" ht="19.5" x14ac:dyDescent="0.2">
      <c r="A22" s="9">
        <v>10</v>
      </c>
      <c r="B22" s="10" t="s">
        <v>73</v>
      </c>
      <c r="C22" s="17">
        <v>0.05</v>
      </c>
      <c r="D22" s="20" t="s">
        <v>74</v>
      </c>
      <c r="E22" s="18" t="s">
        <v>34</v>
      </c>
      <c r="G22" s="5" t="s">
        <v>75</v>
      </c>
      <c r="H22" s="8" t="s">
        <v>76</v>
      </c>
      <c r="I22" s="8" t="s">
        <v>77</v>
      </c>
      <c r="J22" s="16" t="s">
        <v>78</v>
      </c>
    </row>
    <row r="23" spans="1:10" ht="19.5" x14ac:dyDescent="0.2">
      <c r="G23" s="9" t="s">
        <v>79</v>
      </c>
      <c r="H23" s="10" t="s">
        <v>80</v>
      </c>
      <c r="I23" s="10"/>
      <c r="J23" s="18"/>
    </row>
    <row r="24" spans="1:10" x14ac:dyDescent="0.2">
      <c r="A24" s="139" t="s">
        <v>81</v>
      </c>
      <c r="B24" s="139"/>
      <c r="C24" s="139"/>
      <c r="D24" s="139"/>
      <c r="E24" s="139"/>
    </row>
    <row r="25" spans="1:10" x14ac:dyDescent="0.2">
      <c r="A25" s="140" t="s">
        <v>82</v>
      </c>
      <c r="B25" s="140"/>
      <c r="C25" s="140"/>
      <c r="D25" s="140"/>
      <c r="E25" s="140"/>
      <c r="F25" s="140"/>
      <c r="G25" s="140"/>
      <c r="H25" s="140"/>
      <c r="I25" s="140"/>
      <c r="J25" s="140"/>
    </row>
    <row r="26" spans="1:10" x14ac:dyDescent="0.2">
      <c r="A26" s="2" t="s">
        <v>83</v>
      </c>
      <c r="B26" s="141" t="s">
        <v>84</v>
      </c>
      <c r="C26" s="141"/>
      <c r="D26" s="141"/>
      <c r="E26" s="26" t="s">
        <v>85</v>
      </c>
      <c r="F26" s="26" t="s">
        <v>86</v>
      </c>
      <c r="G26" s="26" t="s">
        <v>87</v>
      </c>
      <c r="H26" s="26" t="s">
        <v>88</v>
      </c>
      <c r="I26" s="26" t="s">
        <v>89</v>
      </c>
      <c r="J26" s="27" t="s">
        <v>90</v>
      </c>
    </row>
    <row r="27" spans="1:10" x14ac:dyDescent="0.2">
      <c r="A27" s="9" t="s">
        <v>91</v>
      </c>
      <c r="B27" s="127" t="s">
        <v>92</v>
      </c>
      <c r="C27" s="127"/>
      <c r="D27" s="127"/>
      <c r="E27" s="10" t="s">
        <v>93</v>
      </c>
      <c r="F27" s="10">
        <v>6</v>
      </c>
      <c r="G27" s="10" t="s">
        <v>94</v>
      </c>
      <c r="H27" s="10">
        <v>3</v>
      </c>
      <c r="I27" s="10" t="s">
        <v>95</v>
      </c>
      <c r="J27" s="18">
        <v>3</v>
      </c>
    </row>
    <row r="29" spans="1:10" ht="19.5" x14ac:dyDescent="0.2">
      <c r="A29" s="28" t="s">
        <v>16</v>
      </c>
      <c r="B29" s="134" t="s">
        <v>96</v>
      </c>
      <c r="C29" s="134"/>
      <c r="D29" s="134" t="s">
        <v>97</v>
      </c>
      <c r="E29" s="134"/>
      <c r="F29" s="134" t="s">
        <v>98</v>
      </c>
      <c r="G29" s="134"/>
      <c r="H29" s="134" t="s">
        <v>99</v>
      </c>
      <c r="I29" s="134"/>
      <c r="J29" s="135"/>
    </row>
    <row r="30" spans="1:10" ht="27.95" customHeight="1" x14ac:dyDescent="0.2">
      <c r="A30" s="5">
        <v>1</v>
      </c>
      <c r="B30" s="131" t="s">
        <v>100</v>
      </c>
      <c r="C30" s="131"/>
      <c r="D30" s="132" t="s">
        <v>101</v>
      </c>
      <c r="E30" s="132"/>
      <c r="F30" s="131" t="s">
        <v>102</v>
      </c>
      <c r="G30" s="131"/>
      <c r="H30" s="131" t="s">
        <v>103</v>
      </c>
      <c r="I30" s="131"/>
      <c r="J30" s="133"/>
    </row>
    <row r="31" spans="1:10" ht="27.95" customHeight="1" x14ac:dyDescent="0.2">
      <c r="A31" s="5">
        <v>2</v>
      </c>
      <c r="B31" s="131" t="s">
        <v>104</v>
      </c>
      <c r="C31" s="131"/>
      <c r="D31" s="132" t="s">
        <v>105</v>
      </c>
      <c r="E31" s="132"/>
      <c r="F31" s="131" t="s">
        <v>106</v>
      </c>
      <c r="G31" s="131"/>
      <c r="H31" s="131" t="s">
        <v>107</v>
      </c>
      <c r="I31" s="131"/>
      <c r="J31" s="133"/>
    </row>
    <row r="32" spans="1:10" ht="27.95" customHeight="1" x14ac:dyDescent="0.2">
      <c r="A32" s="5">
        <v>3</v>
      </c>
      <c r="B32" s="131" t="s">
        <v>108</v>
      </c>
      <c r="C32" s="131"/>
      <c r="D32" s="132" t="s">
        <v>109</v>
      </c>
      <c r="E32" s="132"/>
      <c r="F32" s="131" t="s">
        <v>110</v>
      </c>
      <c r="G32" s="131"/>
      <c r="H32" s="131" t="s">
        <v>111</v>
      </c>
      <c r="I32" s="131"/>
      <c r="J32" s="133"/>
    </row>
    <row r="33" spans="1:10" ht="27.95" customHeight="1" x14ac:dyDescent="0.2">
      <c r="A33" s="5">
        <v>4</v>
      </c>
      <c r="B33" s="131" t="s">
        <v>112</v>
      </c>
      <c r="C33" s="131"/>
      <c r="D33" s="132" t="s">
        <v>113</v>
      </c>
      <c r="E33" s="132"/>
      <c r="F33" s="131" t="s">
        <v>114</v>
      </c>
      <c r="G33" s="131"/>
      <c r="H33" s="131" t="s">
        <v>115</v>
      </c>
      <c r="I33" s="131"/>
      <c r="J33" s="133"/>
    </row>
    <row r="34" spans="1:10" ht="27.95" customHeight="1" x14ac:dyDescent="0.2">
      <c r="A34" s="5">
        <v>5</v>
      </c>
      <c r="B34" s="131" t="s">
        <v>116</v>
      </c>
      <c r="C34" s="131"/>
      <c r="D34" s="132" t="s">
        <v>117</v>
      </c>
      <c r="E34" s="132"/>
      <c r="F34" s="131" t="s">
        <v>114</v>
      </c>
      <c r="G34" s="131"/>
      <c r="H34" s="131" t="s">
        <v>115</v>
      </c>
      <c r="I34" s="131"/>
      <c r="J34" s="133"/>
    </row>
    <row r="35" spans="1:10" ht="27.95" customHeight="1" x14ac:dyDescent="0.2">
      <c r="A35" s="9">
        <v>6</v>
      </c>
      <c r="B35" s="127" t="s">
        <v>118</v>
      </c>
      <c r="C35" s="127"/>
      <c r="D35" s="128" t="s">
        <v>119</v>
      </c>
      <c r="E35" s="128"/>
      <c r="F35" s="127" t="s">
        <v>106</v>
      </c>
      <c r="G35" s="127"/>
      <c r="H35" s="127" t="s">
        <v>115</v>
      </c>
      <c r="I35" s="127"/>
      <c r="J35" s="129"/>
    </row>
    <row r="37" spans="1:10" x14ac:dyDescent="0.2">
      <c r="A37" s="130" t="s">
        <v>120</v>
      </c>
      <c r="B37" s="130"/>
      <c r="C37" s="130"/>
      <c r="D37" s="130"/>
      <c r="E37" s="130"/>
      <c r="F37" s="130"/>
      <c r="G37" s="130"/>
      <c r="H37" s="130"/>
      <c r="I37" s="130"/>
      <c r="J37" s="130"/>
    </row>
    <row r="38" spans="1:10" x14ac:dyDescent="0.2">
      <c r="A38" s="130"/>
      <c r="B38" s="130"/>
      <c r="C38" s="130"/>
      <c r="D38" s="130"/>
      <c r="E38" s="130"/>
      <c r="F38" s="130"/>
      <c r="G38" s="130"/>
      <c r="H38" s="130"/>
      <c r="I38" s="130"/>
      <c r="J38" s="130"/>
    </row>
  </sheetData>
  <mergeCells count="47">
    <mergeCell ref="A1:J1"/>
    <mergeCell ref="A2:J2"/>
    <mergeCell ref="A3:J3"/>
    <mergeCell ref="A5:C5"/>
    <mergeCell ref="D5:E5"/>
    <mergeCell ref="F5:G5"/>
    <mergeCell ref="H5:I5"/>
    <mergeCell ref="D6:E7"/>
    <mergeCell ref="F6:G7"/>
    <mergeCell ref="H6:I7"/>
    <mergeCell ref="J6:J7"/>
    <mergeCell ref="A11:E11"/>
    <mergeCell ref="G11:J11"/>
    <mergeCell ref="G20:J20"/>
    <mergeCell ref="A24:E24"/>
    <mergeCell ref="A25:J25"/>
    <mergeCell ref="B26:D26"/>
    <mergeCell ref="B27:D27"/>
    <mergeCell ref="B29:C29"/>
    <mergeCell ref="D29:E29"/>
    <mergeCell ref="F29:G29"/>
    <mergeCell ref="H29:J29"/>
    <mergeCell ref="B30:C30"/>
    <mergeCell ref="D30:E30"/>
    <mergeCell ref="F30:G30"/>
    <mergeCell ref="H30:J30"/>
    <mergeCell ref="B31:C31"/>
    <mergeCell ref="D31:E31"/>
    <mergeCell ref="F31:G31"/>
    <mergeCell ref="H31:J31"/>
    <mergeCell ref="B32:C32"/>
    <mergeCell ref="D32:E32"/>
    <mergeCell ref="F32:G32"/>
    <mergeCell ref="H32:J32"/>
    <mergeCell ref="B33:C33"/>
    <mergeCell ref="D33:E33"/>
    <mergeCell ref="F33:G33"/>
    <mergeCell ref="H33:J33"/>
    <mergeCell ref="B34:C34"/>
    <mergeCell ref="D34:E34"/>
    <mergeCell ref="F34:G34"/>
    <mergeCell ref="H34:J34"/>
    <mergeCell ref="B35:C35"/>
    <mergeCell ref="D35:E35"/>
    <mergeCell ref="F35:G35"/>
    <mergeCell ref="H35:J35"/>
    <mergeCell ref="A37:J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7"/>
  <sheetViews>
    <sheetView tabSelected="1" topLeftCell="Y4" zoomScaleNormal="100" zoomScaleSheetLayoutView="100" workbookViewId="0">
      <selection activeCell="E13" sqref="E13"/>
    </sheetView>
  </sheetViews>
  <sheetFormatPr defaultRowHeight="15" x14ac:dyDescent="0.2"/>
  <cols>
    <col min="1" max="1" width="4.9765625" customWidth="1"/>
    <col min="2" max="2" width="18.0234375" customWidth="1"/>
    <col min="3" max="3" width="16.0078125" customWidth="1"/>
    <col min="4" max="4" width="18.0234375" customWidth="1"/>
    <col min="5" max="38" width="7.93359375" customWidth="1"/>
    <col min="39" max="41" width="9.953125" customWidth="1"/>
    <col min="42" max="42" width="27.98046875" customWidth="1"/>
  </cols>
  <sheetData>
    <row r="1" spans="1:42" ht="27.95" customHeight="1" x14ac:dyDescent="0.2">
      <c r="A1" s="147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</row>
    <row r="2" spans="1:42" x14ac:dyDescent="0.2">
      <c r="A2" s="148" t="s">
        <v>121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</row>
    <row r="3" spans="1:42" x14ac:dyDescent="0.2">
      <c r="A3" s="149" t="s">
        <v>122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</row>
    <row r="5" spans="1:42" ht="33.950000000000003" customHeight="1" x14ac:dyDescent="0.2">
      <c r="A5" s="31" t="s">
        <v>16</v>
      </c>
      <c r="B5" s="32" t="s">
        <v>123</v>
      </c>
      <c r="C5" s="32" t="s">
        <v>124</v>
      </c>
      <c r="D5" s="32" t="s">
        <v>125</v>
      </c>
      <c r="E5" s="150" t="s">
        <v>126</v>
      </c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 t="s">
        <v>127</v>
      </c>
      <c r="R5" s="151"/>
      <c r="S5" s="137" t="s">
        <v>128</v>
      </c>
      <c r="T5" s="137"/>
      <c r="U5" s="137"/>
      <c r="V5" s="137"/>
      <c r="W5" s="137"/>
      <c r="X5" s="137"/>
      <c r="Y5" s="137"/>
      <c r="Z5" s="137"/>
      <c r="AA5" s="137"/>
      <c r="AB5" s="137"/>
      <c r="AC5" s="151" t="s">
        <v>129</v>
      </c>
      <c r="AD5" s="151"/>
      <c r="AE5" s="151"/>
      <c r="AF5" s="151"/>
      <c r="AG5" s="151"/>
      <c r="AH5" s="151"/>
      <c r="AI5" s="151"/>
      <c r="AJ5" s="151"/>
      <c r="AK5" s="151"/>
      <c r="AL5" s="151"/>
      <c r="AM5" s="152" t="s">
        <v>130</v>
      </c>
      <c r="AN5" s="152"/>
      <c r="AO5" s="152"/>
      <c r="AP5" s="153"/>
    </row>
    <row r="6" spans="1:42" ht="33.950000000000003" customHeight="1" x14ac:dyDescent="0.2">
      <c r="A6" s="33"/>
      <c r="B6" s="34"/>
      <c r="C6" s="34"/>
      <c r="D6" s="34"/>
      <c r="E6" s="35" t="s">
        <v>131</v>
      </c>
      <c r="F6" s="35" t="s">
        <v>132</v>
      </c>
      <c r="G6" s="35" t="s">
        <v>133</v>
      </c>
      <c r="H6" s="35" t="s">
        <v>134</v>
      </c>
      <c r="I6" s="35" t="s">
        <v>135</v>
      </c>
      <c r="J6" s="35" t="s">
        <v>136</v>
      </c>
      <c r="K6" s="35" t="s">
        <v>137</v>
      </c>
      <c r="L6" s="35" t="s">
        <v>138</v>
      </c>
      <c r="M6" s="35" t="s">
        <v>139</v>
      </c>
      <c r="N6" s="35" t="s">
        <v>140</v>
      </c>
      <c r="O6" s="35" t="s">
        <v>141</v>
      </c>
      <c r="P6" s="35" t="s">
        <v>142</v>
      </c>
      <c r="Q6" s="36" t="s">
        <v>143</v>
      </c>
      <c r="R6" s="36" t="s">
        <v>144</v>
      </c>
      <c r="S6" s="37" t="s">
        <v>25</v>
      </c>
      <c r="T6" s="37" t="s">
        <v>145</v>
      </c>
      <c r="U6" s="37" t="s">
        <v>146</v>
      </c>
      <c r="V6" s="37" t="s">
        <v>147</v>
      </c>
      <c r="W6" s="37" t="s">
        <v>148</v>
      </c>
      <c r="X6" s="37" t="s">
        <v>149</v>
      </c>
      <c r="Y6" s="37" t="s">
        <v>150</v>
      </c>
      <c r="Z6" s="37" t="s">
        <v>151</v>
      </c>
      <c r="AA6" s="37" t="s">
        <v>152</v>
      </c>
      <c r="AB6" s="37" t="s">
        <v>153</v>
      </c>
      <c r="AC6" s="36" t="s">
        <v>25</v>
      </c>
      <c r="AD6" s="36" t="s">
        <v>145</v>
      </c>
      <c r="AE6" s="36" t="s">
        <v>146</v>
      </c>
      <c r="AF6" s="36" t="s">
        <v>147</v>
      </c>
      <c r="AG6" s="36" t="s">
        <v>148</v>
      </c>
      <c r="AH6" s="36" t="s">
        <v>149</v>
      </c>
      <c r="AI6" s="36" t="s">
        <v>150</v>
      </c>
      <c r="AJ6" s="36" t="s">
        <v>151</v>
      </c>
      <c r="AK6" s="36" t="s">
        <v>152</v>
      </c>
      <c r="AL6" s="36" t="s">
        <v>153</v>
      </c>
      <c r="AM6" s="38" t="s">
        <v>154</v>
      </c>
      <c r="AN6" s="38" t="s">
        <v>155</v>
      </c>
      <c r="AO6" s="38" t="s">
        <v>156</v>
      </c>
      <c r="AP6" s="39" t="s">
        <v>20</v>
      </c>
    </row>
    <row r="7" spans="1:42" ht="33.950000000000003" customHeight="1" x14ac:dyDescent="0.2">
      <c r="A7" s="33"/>
      <c r="B7" s="34"/>
      <c r="C7" s="34"/>
      <c r="D7" s="34"/>
      <c r="E7" s="35" t="s">
        <v>157</v>
      </c>
      <c r="F7" s="35" t="s">
        <v>158</v>
      </c>
      <c r="G7" s="35" t="s">
        <v>159</v>
      </c>
      <c r="H7" s="35" t="s">
        <v>160</v>
      </c>
      <c r="I7" s="35" t="s">
        <v>161</v>
      </c>
      <c r="J7" s="35" t="s">
        <v>162</v>
      </c>
      <c r="K7" s="35" t="s">
        <v>163</v>
      </c>
      <c r="L7" s="35" t="s">
        <v>164</v>
      </c>
      <c r="M7" s="35" t="s">
        <v>165</v>
      </c>
      <c r="N7" s="35" t="s">
        <v>166</v>
      </c>
      <c r="O7" s="35" t="s">
        <v>167</v>
      </c>
      <c r="P7" s="35" t="s">
        <v>168</v>
      </c>
      <c r="Q7" s="36"/>
      <c r="R7" s="36"/>
      <c r="S7" s="37" t="s">
        <v>169</v>
      </c>
      <c r="T7" s="37" t="s">
        <v>169</v>
      </c>
      <c r="U7" s="37" t="s">
        <v>170</v>
      </c>
      <c r="V7" s="37" t="s">
        <v>169</v>
      </c>
      <c r="W7" s="37" t="s">
        <v>171</v>
      </c>
      <c r="X7" s="37" t="s">
        <v>169</v>
      </c>
      <c r="Y7" s="37" t="s">
        <v>172</v>
      </c>
      <c r="Z7" s="37" t="s">
        <v>172</v>
      </c>
      <c r="AA7" s="37" t="s">
        <v>172</v>
      </c>
      <c r="AB7" s="37" t="s">
        <v>172</v>
      </c>
      <c r="AC7" s="36" t="s">
        <v>169</v>
      </c>
      <c r="AD7" s="36" t="s">
        <v>169</v>
      </c>
      <c r="AE7" s="36" t="s">
        <v>170</v>
      </c>
      <c r="AF7" s="36" t="s">
        <v>169</v>
      </c>
      <c r="AG7" s="36" t="s">
        <v>171</v>
      </c>
      <c r="AH7" s="36" t="s">
        <v>169</v>
      </c>
      <c r="AI7" s="36" t="s">
        <v>172</v>
      </c>
      <c r="AJ7" s="36" t="s">
        <v>172</v>
      </c>
      <c r="AK7" s="36" t="s">
        <v>172</v>
      </c>
      <c r="AL7" s="36" t="s">
        <v>172</v>
      </c>
      <c r="AM7" s="38"/>
      <c r="AN7" s="38"/>
      <c r="AO7" s="38"/>
      <c r="AP7" s="39"/>
    </row>
    <row r="8" spans="1:42" ht="30" customHeight="1" x14ac:dyDescent="0.2">
      <c r="A8" s="40">
        <v>1</v>
      </c>
      <c r="B8" s="41" t="s">
        <v>100</v>
      </c>
      <c r="C8" s="42" t="s">
        <v>173</v>
      </c>
      <c r="D8" s="41" t="s">
        <v>102</v>
      </c>
      <c r="E8" s="174">
        <v>1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4">
        <f>IF(B8="","",IF(COUNTA(E8:P8)=0,"",COUNTIF(E8:P8,"1")))</f>
        <v>1</v>
      </c>
      <c r="R8" s="44">
        <f>IF(B8="","",IF(COUNTA(E8:P8)=0,"",IF((COUNTIF(E8:P8,"1")+COUNTIF(E8:P8,"L")+COUNTIF(E8:P8,"A"))=0,100,ROUND((COUNTIF(E8:P8,"1")+0.5*COUNTIF(E8:P8,"L"))/(COUNTIF(E8:P8,"1")+COUNTIF(E8:P8,"L")+COUNTIF(E8:P8,"A"))*100,0))))</f>
        <v>100</v>
      </c>
      <c r="S8" s="45">
        <f>IF(B8="","",R8)</f>
        <v>100</v>
      </c>
      <c r="T8" s="45">
        <v>90</v>
      </c>
      <c r="U8" s="45">
        <v>95</v>
      </c>
      <c r="V8" s="45">
        <v>90</v>
      </c>
      <c r="W8" s="45">
        <v>95</v>
      </c>
      <c r="X8" s="45">
        <v>100</v>
      </c>
      <c r="Y8" s="45">
        <v>95</v>
      </c>
      <c r="Z8" s="45">
        <v>85</v>
      </c>
      <c r="AA8" s="45">
        <v>95</v>
      </c>
      <c r="AB8" s="45">
        <v>90</v>
      </c>
      <c r="AC8" s="44">
        <f>IF(S8="","",ROUND(S8*0.1,2))</f>
        <v>10</v>
      </c>
      <c r="AD8" s="44">
        <f>IF(T8="","",ROUND(T8*0.1,2))</f>
        <v>9</v>
      </c>
      <c r="AE8" s="44">
        <f>IF(U8="","",ROUND(U8*0.25,2))</f>
        <v>23.75</v>
      </c>
      <c r="AF8" s="44">
        <f>IF(V8="","",ROUND(V8*0.1,2))</f>
        <v>9</v>
      </c>
      <c r="AG8" s="44">
        <f>IF(W8="","",ROUND(W8*0.15,2))</f>
        <v>14.25</v>
      </c>
      <c r="AH8" s="44">
        <f>IF(X8="","",ROUND(X8*0.1,2))</f>
        <v>10</v>
      </c>
      <c r="AI8" s="44">
        <f>IF(Y8="","",ROUND(Y8*0.05,2))</f>
        <v>4.75</v>
      </c>
      <c r="AJ8" s="44">
        <f>IF(Z8="","",ROUND(Z8*0.05,2))</f>
        <v>4.25</v>
      </c>
      <c r="AK8" s="44">
        <f>IF(AA8="","",ROUND(AA8*0.05,2))</f>
        <v>4.75</v>
      </c>
      <c r="AL8" s="44">
        <f>IF(AB8="","",ROUND(AB8*0.05,2))</f>
        <v>4.5</v>
      </c>
      <c r="AM8" s="46">
        <f>IF(B8="","",IF(COUNT(S8:AB8)&lt;10,"",ROUND(SUM(AC8:AL8),2)))</f>
        <v>94.25</v>
      </c>
      <c r="AN8" s="44" t="str">
        <f>IF(AM8="","",IF(AM8&gt;=90,"ល្អប្រសើរ",IF(AM8&gt;=80,"ល្អ",IF(AM8&gt;=70,"មធ្យមល្អ",IF(AM8&gt;=60,"មធ្យម","ត្រូវកែលម្អ")))))</f>
        <v>ល្អប្រសើរ</v>
      </c>
      <c r="AO8" s="44">
        <f>IF(AM8="","",1+COUNTIF($AM$8:$AM$27,"&gt;"&amp;AM8))</f>
        <v>3</v>
      </c>
      <c r="AP8" s="47" t="s">
        <v>174</v>
      </c>
    </row>
    <row r="9" spans="1:42" ht="30" customHeight="1" x14ac:dyDescent="0.2">
      <c r="A9" s="40">
        <v>2</v>
      </c>
      <c r="B9" s="41" t="s">
        <v>104</v>
      </c>
      <c r="C9" s="42" t="s">
        <v>175</v>
      </c>
      <c r="D9" s="41" t="s">
        <v>106</v>
      </c>
      <c r="E9" s="174">
        <v>1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4">
        <f>IF(B9="","",IF(COUNTA(E9:P9)=0,"",COUNTIF(E9:P9,"1")))</f>
        <v>1</v>
      </c>
      <c r="R9" s="44">
        <f>IF(B9="","",IF(COUNTA(E9:P9)=0,"",IF((COUNTIF(E9:P9,"1")+COUNTIF(E9:P9,"L")+COUNTIF(E9:P9,"A"))=0,100,ROUND((COUNTIF(E9:P9,"1")+0.5*COUNTIF(E9:P9,"L"))/(COUNTIF(E9:P9,"1")+COUNTIF(E9:P9,"L")+COUNTIF(E9:P9,"A"))*100,0))))</f>
        <v>100</v>
      </c>
      <c r="S9" s="45">
        <f>IF(B9="","",R9)</f>
        <v>100</v>
      </c>
      <c r="T9" s="45">
        <v>100</v>
      </c>
      <c r="U9" s="45">
        <v>100</v>
      </c>
      <c r="V9" s="45">
        <v>100</v>
      </c>
      <c r="W9" s="45">
        <v>100</v>
      </c>
      <c r="X9" s="45">
        <v>100</v>
      </c>
      <c r="Y9" s="45">
        <v>100</v>
      </c>
      <c r="Z9" s="45">
        <v>100</v>
      </c>
      <c r="AA9" s="45">
        <v>95</v>
      </c>
      <c r="AB9" s="45">
        <v>100</v>
      </c>
      <c r="AC9" s="44">
        <f>IF(S9="","",ROUND(S9*0.1,2))</f>
        <v>10</v>
      </c>
      <c r="AD9" s="44">
        <f>IF(T9="","",ROUND(T9*0.1,2))</f>
        <v>10</v>
      </c>
      <c r="AE9" s="44">
        <f>IF(U9="","",ROUND(U9*0.25,2))</f>
        <v>25</v>
      </c>
      <c r="AF9" s="44">
        <f>IF(V9="","",ROUND(V9*0.1,2))</f>
        <v>10</v>
      </c>
      <c r="AG9" s="44">
        <f>IF(W9="","",ROUND(W9*0.15,2))</f>
        <v>15</v>
      </c>
      <c r="AH9" s="44">
        <f>IF(X9="","",ROUND(X9*0.1,2))</f>
        <v>10</v>
      </c>
      <c r="AI9" s="44">
        <f>IF(Y9="","",ROUND(Y9*0.05,2))</f>
        <v>5</v>
      </c>
      <c r="AJ9" s="44">
        <f>IF(Z9="","",ROUND(Z9*0.05,2))</f>
        <v>5</v>
      </c>
      <c r="AK9" s="44">
        <f>IF(AA9="","",ROUND(AA9*0.05,2))</f>
        <v>4.75</v>
      </c>
      <c r="AL9" s="44">
        <f>IF(AB9="","",ROUND(AB9*0.05,2))</f>
        <v>5</v>
      </c>
      <c r="AM9" s="46">
        <f>IF(B9="","",IF(COUNT(S9:AB9)&lt;10,"",ROUND(SUM(AC9:AL9),2)))</f>
        <v>99.75</v>
      </c>
      <c r="AN9" s="44" t="str">
        <f>IF(AM9="","",IF(AM9&gt;=90,"ល្អប្រសើរ",IF(AM9&gt;=80,"ល្អ",IF(AM9&gt;=70,"មធ្យមល្អ",IF(AM9&gt;=60,"មធ្យម","ត្រូវកែលម្អ")))))</f>
        <v>ល្អប្រសើរ</v>
      </c>
      <c r="AO9" s="44">
        <f>IF(AM9="","",1+COUNTIF($AM$8:$AM$27,"&gt;"&amp;AM9))</f>
        <v>1</v>
      </c>
      <c r="AP9" s="47" t="s">
        <v>176</v>
      </c>
    </row>
    <row r="10" spans="1:42" ht="30" customHeight="1" x14ac:dyDescent="0.2">
      <c r="A10" s="40">
        <v>3</v>
      </c>
      <c r="B10" s="41" t="s">
        <v>108</v>
      </c>
      <c r="C10" s="42" t="s">
        <v>177</v>
      </c>
      <c r="D10" s="41" t="s">
        <v>110</v>
      </c>
      <c r="E10" s="174" t="s">
        <v>923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4">
        <f>IF(B10="","",IF(COUNTA(E10:P10)=0,"",COUNTIF(E10:P10,"1")))</f>
        <v>0</v>
      </c>
      <c r="R10" s="44">
        <f>IF(B10="","",IF(COUNTA(E10:P10)=0,"",IF((COUNTIF(E10:P10,"1")+COUNTIF(E10:P10,"L")+COUNTIF(E10:P10,"A"))=0,100,ROUND((COUNTIF(E10:P10,"1")+0.5*COUNTIF(E10:P10,"L"))/(COUNTIF(E10:P10,"1")+COUNTIF(E10:P10,"L")+COUNTIF(E10:P10,"A"))*100,0))))</f>
        <v>50</v>
      </c>
      <c r="S10" s="45">
        <f>IF(B10="","",R10)</f>
        <v>50</v>
      </c>
      <c r="T10" s="45">
        <v>50</v>
      </c>
      <c r="U10" s="45">
        <v>90</v>
      </c>
      <c r="V10" s="45">
        <v>25</v>
      </c>
      <c r="W10" s="45">
        <v>85</v>
      </c>
      <c r="X10" s="45">
        <v>95</v>
      </c>
      <c r="Y10" s="45">
        <v>80</v>
      </c>
      <c r="Z10" s="45">
        <v>80</v>
      </c>
      <c r="AA10" s="45">
        <v>85</v>
      </c>
      <c r="AB10" s="45">
        <v>80</v>
      </c>
      <c r="AC10" s="44">
        <f>IF(S10="","",ROUND(S10*0.1,2))</f>
        <v>5</v>
      </c>
      <c r="AD10" s="44">
        <f>IF(T10="","",ROUND(T10*0.1,2))</f>
        <v>5</v>
      </c>
      <c r="AE10" s="44">
        <f>IF(U10="","",ROUND(U10*0.25,2))</f>
        <v>22.5</v>
      </c>
      <c r="AF10" s="44">
        <f>IF(V10="","",ROUND(V10*0.1,2))</f>
        <v>2.5</v>
      </c>
      <c r="AG10" s="44">
        <f>IF(W10="","",ROUND(W10*0.15,2))</f>
        <v>12.75</v>
      </c>
      <c r="AH10" s="44">
        <f>IF(X10="","",ROUND(X10*0.1,2))</f>
        <v>9.5</v>
      </c>
      <c r="AI10" s="44">
        <f>IF(Y10="","",ROUND(Y10*0.05,2))</f>
        <v>4</v>
      </c>
      <c r="AJ10" s="44">
        <f>IF(Z10="","",ROUND(Z10*0.05,2))</f>
        <v>4</v>
      </c>
      <c r="AK10" s="44">
        <f>IF(AA10="","",ROUND(AA10*0.05,2))</f>
        <v>4.25</v>
      </c>
      <c r="AL10" s="44">
        <f>IF(AB10="","",ROUND(AB10*0.05,2))</f>
        <v>4</v>
      </c>
      <c r="AM10" s="46">
        <f>IF(B10="","",IF(COUNT(S10:AB10)&lt;10,"",ROUND(SUM(AC10:AL10),2)))</f>
        <v>73.5</v>
      </c>
      <c r="AN10" s="44" t="str">
        <f>IF(AM10="","",IF(AM10&gt;=90,"ល្អប្រសើរ",IF(AM10&gt;=80,"ល្អ",IF(AM10&gt;=70,"មធ្យមល្អ",IF(AM10&gt;=60,"មធ្យម","ត្រូវកែលម្អ")))))</f>
        <v>មធ្យមល្អ</v>
      </c>
      <c r="AO10" s="44">
        <f>IF(AM10="","",1+COUNTIF($AM$8:$AM$27,"&gt;"&amp;AM10))</f>
        <v>5</v>
      </c>
      <c r="AP10" s="47" t="s">
        <v>859</v>
      </c>
    </row>
    <row r="11" spans="1:42" ht="30" customHeight="1" x14ac:dyDescent="0.2">
      <c r="A11" s="40">
        <v>4</v>
      </c>
      <c r="B11" s="41" t="s">
        <v>112</v>
      </c>
      <c r="C11" s="42" t="s">
        <v>113</v>
      </c>
      <c r="D11" s="41" t="s">
        <v>114</v>
      </c>
      <c r="E11" s="174" t="s">
        <v>923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>
        <f>IF(B11="","",IF(COUNTA(E11:P11)=0,"",COUNTIF(E11:P11,"1")))</f>
        <v>0</v>
      </c>
      <c r="R11" s="44">
        <f>IF(B11="","",IF(COUNTA(E11:P11)=0,"",IF((COUNTIF(E11:P11,"1")+COUNTIF(E11:P11,"L")+COUNTIF(E11:P11,"A"))=0,100,ROUND((COUNTIF(E11:P11,"1")+0.5*COUNTIF(E11:P11,"L"))/(COUNTIF(E11:P11,"1")+COUNTIF(E11:P11,"L")+COUNTIF(E11:P11,"A"))*100,0))))</f>
        <v>50</v>
      </c>
      <c r="S11" s="45">
        <f>IF(B11="","",R11)</f>
        <v>50</v>
      </c>
      <c r="T11" s="45">
        <v>20</v>
      </c>
      <c r="U11" s="45">
        <v>75</v>
      </c>
      <c r="V11" s="45">
        <v>25</v>
      </c>
      <c r="W11" s="45">
        <v>85</v>
      </c>
      <c r="X11" s="45">
        <v>0</v>
      </c>
      <c r="Y11" s="45">
        <v>75</v>
      </c>
      <c r="Z11" s="45">
        <v>70</v>
      </c>
      <c r="AA11" s="45">
        <v>50</v>
      </c>
      <c r="AB11" s="45">
        <v>0</v>
      </c>
      <c r="AC11" s="44">
        <f>IF(S11="","",ROUND(S11*0.1,2))</f>
        <v>5</v>
      </c>
      <c r="AD11" s="44">
        <f>IF(T11="","",ROUND(T11*0.1,2))</f>
        <v>2</v>
      </c>
      <c r="AE11" s="44">
        <f>IF(U11="","",ROUND(U11*0.25,2))</f>
        <v>18.75</v>
      </c>
      <c r="AF11" s="44">
        <f>IF(V11="","",ROUND(V11*0.1,2))</f>
        <v>2.5</v>
      </c>
      <c r="AG11" s="44">
        <f>IF(W11="","",ROUND(W11*0.15,2))</f>
        <v>12.75</v>
      </c>
      <c r="AH11" s="44">
        <f>IF(X11="","",ROUND(X11*0.1,2))</f>
        <v>0</v>
      </c>
      <c r="AI11" s="44">
        <f>IF(Y11="","",ROUND(Y11*0.05,2))</f>
        <v>3.75</v>
      </c>
      <c r="AJ11" s="44">
        <f>IF(Z11="","",ROUND(Z11*0.05,2))</f>
        <v>3.5</v>
      </c>
      <c r="AK11" s="44">
        <f>IF(AA11="","",ROUND(AA11*0.05,2))</f>
        <v>2.5</v>
      </c>
      <c r="AL11" s="44">
        <f>IF(AB11="","",ROUND(AB11*0.05,2))</f>
        <v>0</v>
      </c>
      <c r="AM11" s="46">
        <f>IF(B11="","",IF(COUNT(S11:AB11)&lt;10,"",ROUND(SUM(AC11:AL11),2)))</f>
        <v>50.75</v>
      </c>
      <c r="AN11" s="44" t="str">
        <f>IF(AM11="","",IF(AM11&gt;=90,"ល្អប្រសើរ",IF(AM11&gt;=80,"ល្អ",IF(AM11&gt;=70,"មធ្យមល្អ",IF(AM11&gt;=60,"មធ្យម","ត្រូវកែលម្អ")))))</f>
        <v>ត្រូវកែលម្អ</v>
      </c>
      <c r="AO11" s="44">
        <f>IF(AM11="","",1+COUNTIF($AM$8:$AM$27,"&gt;"&amp;AM11))</f>
        <v>6</v>
      </c>
      <c r="AP11" s="47" t="s">
        <v>860</v>
      </c>
    </row>
    <row r="12" spans="1:42" ht="30" customHeight="1" x14ac:dyDescent="0.2">
      <c r="A12" s="40">
        <v>5</v>
      </c>
      <c r="B12" s="41" t="s">
        <v>116</v>
      </c>
      <c r="C12" s="42" t="s">
        <v>117</v>
      </c>
      <c r="D12" s="41" t="s">
        <v>114</v>
      </c>
      <c r="E12" s="174">
        <v>1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>
        <f>IF(B12="","",IF(COUNTA(E12:P12)=0,"",COUNTIF(E12:P12,"1")))</f>
        <v>1</v>
      </c>
      <c r="R12" s="44">
        <f>IF(B12="","",IF(COUNTA(E12:P12)=0,"",IF((COUNTIF(E12:P12,"1")+COUNTIF(E12:P12,"L")+COUNTIF(E12:P12,"A"))=0,100,ROUND((COUNTIF(E12:P12,"1")+0.5*COUNTIF(E12:P12,"L"))/(COUNTIF(E12:P12,"1")+COUNTIF(E12:P12,"L")+COUNTIF(E12:P12,"A"))*100,0))))</f>
        <v>100</v>
      </c>
      <c r="S12" s="45">
        <f>IF(B12="","",R12)</f>
        <v>100</v>
      </c>
      <c r="T12" s="45">
        <v>100</v>
      </c>
      <c r="U12" s="45">
        <v>100</v>
      </c>
      <c r="V12" s="45">
        <v>100</v>
      </c>
      <c r="W12" s="45">
        <v>100</v>
      </c>
      <c r="X12" s="45">
        <v>100</v>
      </c>
      <c r="Y12" s="45">
        <v>100</v>
      </c>
      <c r="Z12" s="45">
        <v>90</v>
      </c>
      <c r="AA12" s="45">
        <v>80</v>
      </c>
      <c r="AB12" s="45">
        <v>100</v>
      </c>
      <c r="AC12" s="44">
        <f>IF(S12="","",ROUND(S12*0.1,2))</f>
        <v>10</v>
      </c>
      <c r="AD12" s="44">
        <f>IF(T12="","",ROUND(T12*0.1,2))</f>
        <v>10</v>
      </c>
      <c r="AE12" s="44">
        <f>IF(U12="","",ROUND(U12*0.25,2))</f>
        <v>25</v>
      </c>
      <c r="AF12" s="44">
        <f>IF(V12="","",ROUND(V12*0.1,2))</f>
        <v>10</v>
      </c>
      <c r="AG12" s="44">
        <f>IF(W12="","",ROUND(W12*0.15,2))</f>
        <v>15</v>
      </c>
      <c r="AH12" s="44">
        <f>IF(X12="","",ROUND(X12*0.1,2))</f>
        <v>10</v>
      </c>
      <c r="AI12" s="44">
        <f>IF(Y12="","",ROUND(Y12*0.05,2))</f>
        <v>5</v>
      </c>
      <c r="AJ12" s="44">
        <f>IF(Z12="","",ROUND(Z12*0.05,2))</f>
        <v>4.5</v>
      </c>
      <c r="AK12" s="44">
        <f>IF(AA12="","",ROUND(AA12*0.05,2))</f>
        <v>4</v>
      </c>
      <c r="AL12" s="44">
        <f>IF(AB12="","",ROUND(AB12*0.05,2))</f>
        <v>5</v>
      </c>
      <c r="AM12" s="46">
        <f>IF(B12="","",IF(COUNT(S12:AB12)&lt;10,"",ROUND(SUM(AC12:AL12),2)))</f>
        <v>98.5</v>
      </c>
      <c r="AN12" s="44" t="str">
        <f>IF(AM12="","",IF(AM12&gt;=90,"ល្អប្រសើរ",IF(AM12&gt;=80,"ល្អ",IF(AM12&gt;=70,"មធ្យមល្អ",IF(AM12&gt;=60,"មធ្យម","ត្រូវកែលម្អ")))))</f>
        <v>ល្អប្រសើរ</v>
      </c>
      <c r="AO12" s="44">
        <f>IF(AM12="","",1+COUNTIF($AM$8:$AM$27,"&gt;"&amp;AM12))</f>
        <v>2</v>
      </c>
      <c r="AP12" s="47" t="s">
        <v>178</v>
      </c>
    </row>
    <row r="13" spans="1:42" ht="30" customHeight="1" x14ac:dyDescent="0.2">
      <c r="A13" s="40">
        <v>6</v>
      </c>
      <c r="B13" s="41" t="s">
        <v>118</v>
      </c>
      <c r="C13" s="42" t="s">
        <v>119</v>
      </c>
      <c r="D13" s="41" t="s">
        <v>106</v>
      </c>
      <c r="E13" s="174">
        <v>1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4">
        <f>IF(B13="","",IF(COUNTA(E13:P13)=0,"",COUNTIF(E13:P13,"1")))</f>
        <v>1</v>
      </c>
      <c r="R13" s="44">
        <f>IF(B13="","",IF(COUNTA(E13:P13)=0,"",IF((COUNTIF(E13:P13,"1")+COUNTIF(E13:P13,"L")+COUNTIF(E13:P13,"A"))=0,100,ROUND((COUNTIF(E13:P13,"1")+0.5*COUNTIF(E13:P13,"L"))/(COUNTIF(E13:P13,"1")+COUNTIF(E13:P13,"L")+COUNTIF(E13:P13,"A"))*100,0))))</f>
        <v>100</v>
      </c>
      <c r="S13" s="45">
        <f>IF(B13="","",R13)</f>
        <v>100</v>
      </c>
      <c r="T13" s="45">
        <v>100</v>
      </c>
      <c r="U13" s="45">
        <v>100</v>
      </c>
      <c r="V13" s="45">
        <v>100</v>
      </c>
      <c r="W13" s="45">
        <v>100</v>
      </c>
      <c r="X13" s="45">
        <v>0</v>
      </c>
      <c r="Y13" s="45">
        <v>100</v>
      </c>
      <c r="Z13" s="45">
        <v>100</v>
      </c>
      <c r="AA13" s="45">
        <v>95</v>
      </c>
      <c r="AB13" s="45">
        <v>100</v>
      </c>
      <c r="AC13" s="44">
        <f>IF(S13="","",ROUND(S13*0.1,2))</f>
        <v>10</v>
      </c>
      <c r="AD13" s="44">
        <f>IF(T13="","",ROUND(T13*0.1,2))</f>
        <v>10</v>
      </c>
      <c r="AE13" s="44">
        <f>IF(U13="","",ROUND(U13*0.25,2))</f>
        <v>25</v>
      </c>
      <c r="AF13" s="44">
        <f>IF(V13="","",ROUND(V13*0.1,2))</f>
        <v>10</v>
      </c>
      <c r="AG13" s="44">
        <f>IF(W13="","",ROUND(W13*0.15,2))</f>
        <v>15</v>
      </c>
      <c r="AH13" s="44">
        <f>IF(X13="","",ROUND(X13*0.1,2))</f>
        <v>0</v>
      </c>
      <c r="AI13" s="44">
        <f>IF(Y13="","",ROUND(Y13*0.05,2))</f>
        <v>5</v>
      </c>
      <c r="AJ13" s="44">
        <f>IF(Z13="","",ROUND(Z13*0.05,2))</f>
        <v>5</v>
      </c>
      <c r="AK13" s="44">
        <f>IF(AA13="","",ROUND(AA13*0.05,2))</f>
        <v>4.75</v>
      </c>
      <c r="AL13" s="44">
        <f>IF(AB13="","",ROUND(AB13*0.05,2))</f>
        <v>5</v>
      </c>
      <c r="AM13" s="46">
        <f>IF(B13="","",IF(COUNT(S13:AB13)&lt;10,"",ROUND(SUM(AC13:AL13),2)))</f>
        <v>89.75</v>
      </c>
      <c r="AN13" s="44" t="str">
        <f>IF(AM13="","",IF(AM13&gt;=90,"ល្អប្រសើរ",IF(AM13&gt;=80,"ល្អ",IF(AM13&gt;=70,"មធ្យមល្អ",IF(AM13&gt;=60,"មធ្យម","ត្រូវកែលម្អ")))))</f>
        <v>ល្អ</v>
      </c>
      <c r="AO13" s="44">
        <f>IF(AM13="","",1+COUNTIF($AM$8:$AM$27,"&gt;"&amp;AM13))</f>
        <v>4</v>
      </c>
      <c r="AP13" s="47" t="s">
        <v>179</v>
      </c>
    </row>
    <row r="14" spans="1:42" ht="21.95" customHeight="1" x14ac:dyDescent="0.2">
      <c r="A14" s="40">
        <v>7</v>
      </c>
      <c r="B14" s="41"/>
      <c r="C14" s="42"/>
      <c r="D14" s="41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 t="str">
        <f>IF(B14="","",IF(COUNTA(E14:P14)=0,"",COUNTIF(E14:P14,"1")))</f>
        <v/>
      </c>
      <c r="R14" s="44" t="str">
        <f>IF(B14="","",IF(COUNTA(E14:P14)=0,"",ROUND((COUNTIF(E14:P14,"1")+0.5*COUNTIF(E14:P14,"L"))/12*100,0)))</f>
        <v/>
      </c>
      <c r="S14" s="45" t="str">
        <f>IF(B14="","",R14)</f>
        <v/>
      </c>
      <c r="T14" s="45"/>
      <c r="U14" s="45"/>
      <c r="V14" s="45"/>
      <c r="W14" s="45"/>
      <c r="X14" s="45"/>
      <c r="Y14" s="45"/>
      <c r="Z14" s="45"/>
      <c r="AA14" s="45"/>
      <c r="AB14" s="45"/>
      <c r="AC14" s="44" t="str">
        <f>IF(S14="","",ROUND(S14*0.1,2))</f>
        <v/>
      </c>
      <c r="AD14" s="44" t="str">
        <f>IF(T14="","",ROUND(T14*0.1,2))</f>
        <v/>
      </c>
      <c r="AE14" s="44" t="str">
        <f>IF(U14="","",ROUND(U14*0.25,2))</f>
        <v/>
      </c>
      <c r="AF14" s="44" t="str">
        <f>IF(V14="","",ROUND(V14*0.1,2))</f>
        <v/>
      </c>
      <c r="AG14" s="44" t="str">
        <f>IF(W14="","",ROUND(W14*0.15,2))</f>
        <v/>
      </c>
      <c r="AH14" s="44" t="str">
        <f>IF(X14="","",ROUND(X14*0.1,2))</f>
        <v/>
      </c>
      <c r="AI14" s="44" t="str">
        <f>IF(Y14="","",ROUND(Y14*0.05,2))</f>
        <v/>
      </c>
      <c r="AJ14" s="44" t="str">
        <f>IF(Z14="","",ROUND(Z14*0.05,2))</f>
        <v/>
      </c>
      <c r="AK14" s="44" t="str">
        <f>IF(AA14="","",ROUND(AA14*0.05,2))</f>
        <v/>
      </c>
      <c r="AL14" s="44" t="str">
        <f>IF(AB14="","",ROUND(AB14*0.05,2))</f>
        <v/>
      </c>
      <c r="AM14" s="46" t="str">
        <f>IF(B14="","",IF(COUNT(S14:AB14)&lt;10,"",ROUND(SUM(AC14:AL14),2)))</f>
        <v/>
      </c>
      <c r="AN14" s="44" t="str">
        <f>IF(AM14="","",IF(AM14&gt;=90,"ល្អប្រសើរ",IF(AM14&gt;=80,"ល្អ",IF(AM14&gt;=70,"មធ្យមល្អ",IF(AM14&gt;=60,"មធ្យម","ត្រូវកែលម្អ")))))</f>
        <v/>
      </c>
      <c r="AO14" s="44" t="str">
        <f>IF(AM14="","",1+COUNTIF($AM$8:$AM$27,"&gt;"&amp;AM14))</f>
        <v/>
      </c>
      <c r="AP14" s="47"/>
    </row>
    <row r="15" spans="1:42" ht="21.95" customHeight="1" x14ac:dyDescent="0.2">
      <c r="A15" s="40">
        <v>8</v>
      </c>
      <c r="B15" s="41"/>
      <c r="C15" s="42"/>
      <c r="D15" s="41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4" t="str">
        <f>IF(B15="","",IF(COUNTA(E15:P15)=0,"",COUNTIF(E15:P15,"1")))</f>
        <v/>
      </c>
      <c r="R15" s="44" t="str">
        <f>IF(B15="","",IF(COUNTA(E15:P15)=0,"",ROUND((COUNTIF(E15:P15,"1")+0.5*COUNTIF(E15:P15,"L"))/12*100,0)))</f>
        <v/>
      </c>
      <c r="S15" s="45" t="str">
        <f>IF(B15="","",R15)</f>
        <v/>
      </c>
      <c r="T15" s="45"/>
      <c r="U15" s="45"/>
      <c r="V15" s="45"/>
      <c r="W15" s="45"/>
      <c r="X15" s="45"/>
      <c r="Y15" s="45"/>
      <c r="Z15" s="45"/>
      <c r="AA15" s="45"/>
      <c r="AB15" s="45"/>
      <c r="AC15" s="44" t="str">
        <f>IF(S15="","",ROUND(S15*0.1,2))</f>
        <v/>
      </c>
      <c r="AD15" s="44" t="str">
        <f>IF(T15="","",ROUND(T15*0.1,2))</f>
        <v/>
      </c>
      <c r="AE15" s="44" t="str">
        <f>IF(U15="","",ROUND(U15*0.25,2))</f>
        <v/>
      </c>
      <c r="AF15" s="44" t="str">
        <f>IF(V15="","",ROUND(V15*0.1,2))</f>
        <v/>
      </c>
      <c r="AG15" s="44" t="str">
        <f>IF(W15="","",ROUND(W15*0.15,2))</f>
        <v/>
      </c>
      <c r="AH15" s="44" t="str">
        <f>IF(X15="","",ROUND(X15*0.1,2))</f>
        <v/>
      </c>
      <c r="AI15" s="44" t="str">
        <f>IF(Y15="","",ROUND(Y15*0.05,2))</f>
        <v/>
      </c>
      <c r="AJ15" s="44" t="str">
        <f>IF(Z15="","",ROUND(Z15*0.05,2))</f>
        <v/>
      </c>
      <c r="AK15" s="44" t="str">
        <f>IF(AA15="","",ROUND(AA15*0.05,2))</f>
        <v/>
      </c>
      <c r="AL15" s="44" t="str">
        <f>IF(AB15="","",ROUND(AB15*0.05,2))</f>
        <v/>
      </c>
      <c r="AM15" s="46" t="str">
        <f>IF(B15="","",IF(COUNT(S15:AB15)&lt;10,"",ROUND(SUM(AC15:AL15),2)))</f>
        <v/>
      </c>
      <c r="AN15" s="44" t="str">
        <f>IF(AM15="","",IF(AM15&gt;=90,"ល្អប្រសើរ",IF(AM15&gt;=80,"ល្អ",IF(AM15&gt;=70,"មធ្យមល្អ",IF(AM15&gt;=60,"មធ្យម","ត្រូវកែលម្អ")))))</f>
        <v/>
      </c>
      <c r="AO15" s="44" t="str">
        <f>IF(AM15="","",1+COUNTIF($AM$8:$AM$27,"&gt;"&amp;AM15))</f>
        <v/>
      </c>
      <c r="AP15" s="47"/>
    </row>
    <row r="16" spans="1:42" ht="21.95" customHeight="1" x14ac:dyDescent="0.2">
      <c r="A16" s="40">
        <v>9</v>
      </c>
      <c r="B16" s="41"/>
      <c r="C16" s="42"/>
      <c r="D16" s="41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 t="str">
        <f>IF(B16="","",IF(COUNTA(E16:P16)=0,"",COUNTIF(E16:P16,"1")))</f>
        <v/>
      </c>
      <c r="R16" s="44" t="str">
        <f>IF(B16="","",IF(COUNTA(E16:P16)=0,"",ROUND((COUNTIF(E16:P16,"1")+0.5*COUNTIF(E16:P16,"L"))/12*100,0)))</f>
        <v/>
      </c>
      <c r="S16" s="45" t="str">
        <f>IF(B16="","",R16)</f>
        <v/>
      </c>
      <c r="T16" s="45"/>
      <c r="U16" s="45"/>
      <c r="V16" s="45"/>
      <c r="W16" s="45"/>
      <c r="X16" s="45"/>
      <c r="Y16" s="45"/>
      <c r="Z16" s="45"/>
      <c r="AA16" s="45"/>
      <c r="AB16" s="45"/>
      <c r="AC16" s="44" t="str">
        <f>IF(S16="","",ROUND(S16*0.1,2))</f>
        <v/>
      </c>
      <c r="AD16" s="44" t="str">
        <f>IF(T16="","",ROUND(T16*0.1,2))</f>
        <v/>
      </c>
      <c r="AE16" s="44" t="str">
        <f>IF(U16="","",ROUND(U16*0.25,2))</f>
        <v/>
      </c>
      <c r="AF16" s="44" t="str">
        <f>IF(V16="","",ROUND(V16*0.1,2))</f>
        <v/>
      </c>
      <c r="AG16" s="44" t="str">
        <f>IF(W16="","",ROUND(W16*0.15,2))</f>
        <v/>
      </c>
      <c r="AH16" s="44" t="str">
        <f>IF(X16="","",ROUND(X16*0.1,2))</f>
        <v/>
      </c>
      <c r="AI16" s="44" t="str">
        <f>IF(Y16="","",ROUND(Y16*0.05,2))</f>
        <v/>
      </c>
      <c r="AJ16" s="44" t="str">
        <f>IF(Z16="","",ROUND(Z16*0.05,2))</f>
        <v/>
      </c>
      <c r="AK16" s="44" t="str">
        <f>IF(AA16="","",ROUND(AA16*0.05,2))</f>
        <v/>
      </c>
      <c r="AL16" s="44" t="str">
        <f>IF(AB16="","",ROUND(AB16*0.05,2))</f>
        <v/>
      </c>
      <c r="AM16" s="46" t="str">
        <f>IF(B16="","",IF(COUNT(S16:AB16)&lt;10,"",ROUND(SUM(AC16:AL16),2)))</f>
        <v/>
      </c>
      <c r="AN16" s="44" t="str">
        <f>IF(AM16="","",IF(AM16&gt;=90,"ល្អប្រសើរ",IF(AM16&gt;=80,"ល្អ",IF(AM16&gt;=70,"មធ្យមល្អ",IF(AM16&gt;=60,"មធ្យម","ត្រូវកែលម្អ")))))</f>
        <v/>
      </c>
      <c r="AO16" s="44" t="str">
        <f>IF(AM16="","",1+COUNTIF($AM$8:$AM$27,"&gt;"&amp;AM16))</f>
        <v/>
      </c>
      <c r="AP16" s="47"/>
    </row>
    <row r="17" spans="1:42" ht="21.95" customHeight="1" x14ac:dyDescent="0.2">
      <c r="A17" s="40">
        <v>10</v>
      </c>
      <c r="B17" s="41"/>
      <c r="C17" s="42"/>
      <c r="D17" s="41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4" t="str">
        <f>IF(B17="","",IF(COUNTA(E17:P17)=0,"",COUNTIF(E17:P17,"1")))</f>
        <v/>
      </c>
      <c r="R17" s="44" t="str">
        <f>IF(B17="","",IF(COUNTA(E17:P17)=0,"",ROUND((COUNTIF(E17:P17,"1")+0.5*COUNTIF(E17:P17,"L"))/12*100,0)))</f>
        <v/>
      </c>
      <c r="S17" s="45" t="str">
        <f>IF(B17="","",R17)</f>
        <v/>
      </c>
      <c r="T17" s="45"/>
      <c r="U17" s="45"/>
      <c r="V17" s="45"/>
      <c r="W17" s="45"/>
      <c r="X17" s="45"/>
      <c r="Y17" s="45"/>
      <c r="Z17" s="45"/>
      <c r="AA17" s="45"/>
      <c r="AB17" s="45"/>
      <c r="AC17" s="44" t="str">
        <f>IF(S17="","",ROUND(S17*0.1,2))</f>
        <v/>
      </c>
      <c r="AD17" s="44" t="str">
        <f>IF(T17="","",ROUND(T17*0.1,2))</f>
        <v/>
      </c>
      <c r="AE17" s="44" t="str">
        <f>IF(U17="","",ROUND(U17*0.25,2))</f>
        <v/>
      </c>
      <c r="AF17" s="44" t="str">
        <f>IF(V17="","",ROUND(V17*0.1,2))</f>
        <v/>
      </c>
      <c r="AG17" s="44" t="str">
        <f>IF(W17="","",ROUND(W17*0.15,2))</f>
        <v/>
      </c>
      <c r="AH17" s="44" t="str">
        <f>IF(X17="","",ROUND(X17*0.1,2))</f>
        <v/>
      </c>
      <c r="AI17" s="44" t="str">
        <f>IF(Y17="","",ROUND(Y17*0.05,2))</f>
        <v/>
      </c>
      <c r="AJ17" s="44" t="str">
        <f>IF(Z17="","",ROUND(Z17*0.05,2))</f>
        <v/>
      </c>
      <c r="AK17" s="44" t="str">
        <f>IF(AA17="","",ROUND(AA17*0.05,2))</f>
        <v/>
      </c>
      <c r="AL17" s="44" t="str">
        <f>IF(AB17="","",ROUND(AB17*0.05,2))</f>
        <v/>
      </c>
      <c r="AM17" s="46" t="str">
        <f>IF(B17="","",IF(COUNT(S17:AB17)&lt;10,"",ROUND(SUM(AC17:AL17),2)))</f>
        <v/>
      </c>
      <c r="AN17" s="44" t="str">
        <f>IF(AM17="","",IF(AM17&gt;=90,"ល្អប្រសើរ",IF(AM17&gt;=80,"ល្អ",IF(AM17&gt;=70,"មធ្យមល្អ",IF(AM17&gt;=60,"មធ្យម","ត្រូវកែលម្អ")))))</f>
        <v/>
      </c>
      <c r="AO17" s="44" t="str">
        <f>IF(AM17="","",1+COUNTIF($AM$8:$AM$27,"&gt;"&amp;AM17))</f>
        <v/>
      </c>
      <c r="AP17" s="47"/>
    </row>
    <row r="18" spans="1:42" ht="21.95" customHeight="1" x14ac:dyDescent="0.2">
      <c r="A18" s="40">
        <v>11</v>
      </c>
      <c r="B18" s="41"/>
      <c r="C18" s="42"/>
      <c r="D18" s="41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 t="str">
        <f>IF(B18="","",IF(COUNTA(E18:P18)=0,"",COUNTIF(E18:P18,"1")))</f>
        <v/>
      </c>
      <c r="R18" s="44" t="str">
        <f>IF(B18="","",IF(COUNTA(E18:P18)=0,"",ROUND((COUNTIF(E18:P18,"1")+0.5*COUNTIF(E18:P18,"L"))/12*100,0)))</f>
        <v/>
      </c>
      <c r="S18" s="45" t="str">
        <f>IF(B18="","",R18)</f>
        <v/>
      </c>
      <c r="T18" s="45"/>
      <c r="U18" s="45"/>
      <c r="V18" s="45"/>
      <c r="W18" s="45"/>
      <c r="X18" s="45"/>
      <c r="Y18" s="45"/>
      <c r="Z18" s="45"/>
      <c r="AA18" s="45"/>
      <c r="AB18" s="45"/>
      <c r="AC18" s="44" t="str">
        <f>IF(S18="","",ROUND(S18*0.1,2))</f>
        <v/>
      </c>
      <c r="AD18" s="44" t="str">
        <f>IF(T18="","",ROUND(T18*0.1,2))</f>
        <v/>
      </c>
      <c r="AE18" s="44" t="str">
        <f>IF(U18="","",ROUND(U18*0.25,2))</f>
        <v/>
      </c>
      <c r="AF18" s="44" t="str">
        <f>IF(V18="","",ROUND(V18*0.1,2))</f>
        <v/>
      </c>
      <c r="AG18" s="44" t="str">
        <f>IF(W18="","",ROUND(W18*0.15,2))</f>
        <v/>
      </c>
      <c r="AH18" s="44" t="str">
        <f>IF(X18="","",ROUND(X18*0.1,2))</f>
        <v/>
      </c>
      <c r="AI18" s="44" t="str">
        <f>IF(Y18="","",ROUND(Y18*0.05,2))</f>
        <v/>
      </c>
      <c r="AJ18" s="44" t="str">
        <f>IF(Z18="","",ROUND(Z18*0.05,2))</f>
        <v/>
      </c>
      <c r="AK18" s="44" t="str">
        <f>IF(AA18="","",ROUND(AA18*0.05,2))</f>
        <v/>
      </c>
      <c r="AL18" s="44" t="str">
        <f>IF(AB18="","",ROUND(AB18*0.05,2))</f>
        <v/>
      </c>
      <c r="AM18" s="46" t="str">
        <f>IF(B18="","",IF(COUNT(S18:AB18)&lt;10,"",ROUND(SUM(AC18:AL18),2)))</f>
        <v/>
      </c>
      <c r="AN18" s="44" t="str">
        <f>IF(AM18="","",IF(AM18&gt;=90,"ល្អប្រសើរ",IF(AM18&gt;=80,"ល្អ",IF(AM18&gt;=70,"មធ្យមល្អ",IF(AM18&gt;=60,"មធ្យម","ត្រូវកែលម្អ")))))</f>
        <v/>
      </c>
      <c r="AO18" s="44" t="str">
        <f>IF(AM18="","",1+COUNTIF($AM$8:$AM$27,"&gt;"&amp;AM18))</f>
        <v/>
      </c>
      <c r="AP18" s="47"/>
    </row>
    <row r="19" spans="1:42" ht="21.95" customHeight="1" x14ac:dyDescent="0.2">
      <c r="A19" s="40">
        <v>12</v>
      </c>
      <c r="B19" s="41"/>
      <c r="C19" s="42"/>
      <c r="D19" s="41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4" t="str">
        <f>IF(B19="","",IF(COUNTA(E19:P19)=0,"",COUNTIF(E19:P19,"1")))</f>
        <v/>
      </c>
      <c r="R19" s="44" t="str">
        <f>IF(B19="","",IF(COUNTA(E19:P19)=0,"",ROUND((COUNTIF(E19:P19,"1")+0.5*COUNTIF(E19:P19,"L"))/12*100,0)))</f>
        <v/>
      </c>
      <c r="S19" s="45" t="str">
        <f>IF(B19="","",R19)</f>
        <v/>
      </c>
      <c r="T19" s="45"/>
      <c r="U19" s="45"/>
      <c r="V19" s="45"/>
      <c r="W19" s="45"/>
      <c r="X19" s="45"/>
      <c r="Y19" s="45"/>
      <c r="Z19" s="45"/>
      <c r="AA19" s="45"/>
      <c r="AB19" s="45"/>
      <c r="AC19" s="44" t="str">
        <f>IF(S19="","",ROUND(S19*0.1,2))</f>
        <v/>
      </c>
      <c r="AD19" s="44" t="str">
        <f>IF(T19="","",ROUND(T19*0.1,2))</f>
        <v/>
      </c>
      <c r="AE19" s="44" t="str">
        <f>IF(U19="","",ROUND(U19*0.25,2))</f>
        <v/>
      </c>
      <c r="AF19" s="44" t="str">
        <f>IF(V19="","",ROUND(V19*0.1,2))</f>
        <v/>
      </c>
      <c r="AG19" s="44" t="str">
        <f>IF(W19="","",ROUND(W19*0.15,2))</f>
        <v/>
      </c>
      <c r="AH19" s="44" t="str">
        <f>IF(X19="","",ROUND(X19*0.1,2))</f>
        <v/>
      </c>
      <c r="AI19" s="44" t="str">
        <f>IF(Y19="","",ROUND(Y19*0.05,2))</f>
        <v/>
      </c>
      <c r="AJ19" s="44" t="str">
        <f>IF(Z19="","",ROUND(Z19*0.05,2))</f>
        <v/>
      </c>
      <c r="AK19" s="44" t="str">
        <f>IF(AA19="","",ROUND(AA19*0.05,2))</f>
        <v/>
      </c>
      <c r="AL19" s="44" t="str">
        <f>IF(AB19="","",ROUND(AB19*0.05,2))</f>
        <v/>
      </c>
      <c r="AM19" s="46" t="str">
        <f>IF(B19="","",IF(COUNT(S19:AB19)&lt;10,"",ROUND(SUM(AC19:AL19),2)))</f>
        <v/>
      </c>
      <c r="AN19" s="44" t="str">
        <f>IF(AM19="","",IF(AM19&gt;=90,"ល្អប្រសើរ",IF(AM19&gt;=80,"ល្អ",IF(AM19&gt;=70,"មធ្យមល្អ",IF(AM19&gt;=60,"មធ្យម","ត្រូវកែលម្អ")))))</f>
        <v/>
      </c>
      <c r="AO19" s="44" t="str">
        <f>IF(AM19="","",1+COUNTIF($AM$8:$AM$27,"&gt;"&amp;AM19))</f>
        <v/>
      </c>
      <c r="AP19" s="47"/>
    </row>
    <row r="20" spans="1:42" ht="21.95" customHeight="1" x14ac:dyDescent="0.2">
      <c r="A20" s="40">
        <v>13</v>
      </c>
      <c r="B20" s="41"/>
      <c r="C20" s="42"/>
      <c r="D20" s="41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 t="str">
        <f>IF(B20="","",IF(COUNTA(E20:P20)=0,"",COUNTIF(E20:P20,"1")))</f>
        <v/>
      </c>
      <c r="R20" s="44" t="str">
        <f>IF(B20="","",IF(COUNTA(E20:P20)=0,"",ROUND((COUNTIF(E20:P20,"1")+0.5*COUNTIF(E20:P20,"L"))/12*100,0)))</f>
        <v/>
      </c>
      <c r="S20" s="45" t="str">
        <f>IF(B20="","",R20)</f>
        <v/>
      </c>
      <c r="T20" s="45"/>
      <c r="U20" s="45"/>
      <c r="V20" s="45"/>
      <c r="W20" s="45"/>
      <c r="X20" s="45"/>
      <c r="Y20" s="45"/>
      <c r="Z20" s="45"/>
      <c r="AA20" s="45"/>
      <c r="AB20" s="45"/>
      <c r="AC20" s="44" t="str">
        <f>IF(S20="","",ROUND(S20*0.1,2))</f>
        <v/>
      </c>
      <c r="AD20" s="44" t="str">
        <f>IF(T20="","",ROUND(T20*0.1,2))</f>
        <v/>
      </c>
      <c r="AE20" s="44" t="str">
        <f>IF(U20="","",ROUND(U20*0.25,2))</f>
        <v/>
      </c>
      <c r="AF20" s="44" t="str">
        <f>IF(V20="","",ROUND(V20*0.1,2))</f>
        <v/>
      </c>
      <c r="AG20" s="44" t="str">
        <f>IF(W20="","",ROUND(W20*0.15,2))</f>
        <v/>
      </c>
      <c r="AH20" s="44" t="str">
        <f>IF(X20="","",ROUND(X20*0.1,2))</f>
        <v/>
      </c>
      <c r="AI20" s="44" t="str">
        <f>IF(Y20="","",ROUND(Y20*0.05,2))</f>
        <v/>
      </c>
      <c r="AJ20" s="44" t="str">
        <f>IF(Z20="","",ROUND(Z20*0.05,2))</f>
        <v/>
      </c>
      <c r="AK20" s="44" t="str">
        <f>IF(AA20="","",ROUND(AA20*0.05,2))</f>
        <v/>
      </c>
      <c r="AL20" s="44" t="str">
        <f>IF(AB20="","",ROUND(AB20*0.05,2))</f>
        <v/>
      </c>
      <c r="AM20" s="46" t="str">
        <f>IF(B20="","",IF(COUNT(S20:AB20)&lt;10,"",ROUND(SUM(AC20:AL20),2)))</f>
        <v/>
      </c>
      <c r="AN20" s="44" t="str">
        <f>IF(AM20="","",IF(AM20&gt;=90,"ល្អប្រសើរ",IF(AM20&gt;=80,"ល្អ",IF(AM20&gt;=70,"មធ្យមល្អ",IF(AM20&gt;=60,"មធ្យម","ត្រូវកែលម្អ")))))</f>
        <v/>
      </c>
      <c r="AO20" s="44" t="str">
        <f>IF(AM20="","",1+COUNTIF($AM$8:$AM$27,"&gt;"&amp;AM20))</f>
        <v/>
      </c>
      <c r="AP20" s="47"/>
    </row>
    <row r="21" spans="1:42" ht="21.95" customHeight="1" x14ac:dyDescent="0.2">
      <c r="A21" s="40">
        <v>14</v>
      </c>
      <c r="B21" s="41"/>
      <c r="C21" s="42"/>
      <c r="D21" s="41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4" t="str">
        <f>IF(B21="","",IF(COUNTA(E21:P21)=0,"",COUNTIF(E21:P21,"1")))</f>
        <v/>
      </c>
      <c r="R21" s="44" t="str">
        <f>IF(B21="","",IF(COUNTA(E21:P21)=0,"",ROUND((COUNTIF(E21:P21,"1")+0.5*COUNTIF(E21:P21,"L"))/12*100,0)))</f>
        <v/>
      </c>
      <c r="S21" s="45" t="str">
        <f>IF(B21="","",R21)</f>
        <v/>
      </c>
      <c r="T21" s="45"/>
      <c r="U21" s="45"/>
      <c r="V21" s="45"/>
      <c r="W21" s="45"/>
      <c r="X21" s="45"/>
      <c r="Y21" s="45"/>
      <c r="Z21" s="45"/>
      <c r="AA21" s="45"/>
      <c r="AB21" s="45"/>
      <c r="AC21" s="44" t="str">
        <f>IF(S21="","",ROUND(S21*0.1,2))</f>
        <v/>
      </c>
      <c r="AD21" s="44" t="str">
        <f>IF(T21="","",ROUND(T21*0.1,2))</f>
        <v/>
      </c>
      <c r="AE21" s="44" t="str">
        <f>IF(U21="","",ROUND(U21*0.25,2))</f>
        <v/>
      </c>
      <c r="AF21" s="44" t="str">
        <f>IF(V21="","",ROUND(V21*0.1,2))</f>
        <v/>
      </c>
      <c r="AG21" s="44" t="str">
        <f>IF(W21="","",ROUND(W21*0.15,2))</f>
        <v/>
      </c>
      <c r="AH21" s="44" t="str">
        <f>IF(X21="","",ROUND(X21*0.1,2))</f>
        <v/>
      </c>
      <c r="AI21" s="44" t="str">
        <f>IF(Y21="","",ROUND(Y21*0.05,2))</f>
        <v/>
      </c>
      <c r="AJ21" s="44" t="str">
        <f>IF(Z21="","",ROUND(Z21*0.05,2))</f>
        <v/>
      </c>
      <c r="AK21" s="44" t="str">
        <f>IF(AA21="","",ROUND(AA21*0.05,2))</f>
        <v/>
      </c>
      <c r="AL21" s="44" t="str">
        <f>IF(AB21="","",ROUND(AB21*0.05,2))</f>
        <v/>
      </c>
      <c r="AM21" s="46" t="str">
        <f>IF(B21="","",IF(COUNT(S21:AB21)&lt;10,"",ROUND(SUM(AC21:AL21),2)))</f>
        <v/>
      </c>
      <c r="AN21" s="44" t="str">
        <f>IF(AM21="","",IF(AM21&gt;=90,"ល្អប្រសើរ",IF(AM21&gt;=80,"ល្អ",IF(AM21&gt;=70,"មធ្យមល្អ",IF(AM21&gt;=60,"មធ្យម","ត្រូវកែលម្អ")))))</f>
        <v/>
      </c>
      <c r="AO21" s="44" t="str">
        <f>IF(AM21="","",1+COUNTIF($AM$8:$AM$27,"&gt;"&amp;AM21))</f>
        <v/>
      </c>
      <c r="AP21" s="47"/>
    </row>
    <row r="22" spans="1:42" ht="21.95" customHeight="1" x14ac:dyDescent="0.2">
      <c r="A22" s="40">
        <v>15</v>
      </c>
      <c r="B22" s="41"/>
      <c r="C22" s="42"/>
      <c r="D22" s="41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 t="str">
        <f>IF(B22="","",IF(COUNTA(E22:P22)=0,"",COUNTIF(E22:P22,"1")))</f>
        <v/>
      </c>
      <c r="R22" s="44" t="str">
        <f>IF(B22="","",IF(COUNTA(E22:P22)=0,"",ROUND((COUNTIF(E22:P22,"1")+0.5*COUNTIF(E22:P22,"L"))/12*100,0)))</f>
        <v/>
      </c>
      <c r="S22" s="45" t="str">
        <f>IF(B22="","",R22)</f>
        <v/>
      </c>
      <c r="T22" s="45"/>
      <c r="U22" s="45"/>
      <c r="V22" s="45"/>
      <c r="W22" s="45"/>
      <c r="X22" s="45"/>
      <c r="Y22" s="45"/>
      <c r="Z22" s="45"/>
      <c r="AA22" s="45"/>
      <c r="AB22" s="45"/>
      <c r="AC22" s="44" t="str">
        <f>IF(S22="","",ROUND(S22*0.1,2))</f>
        <v/>
      </c>
      <c r="AD22" s="44" t="str">
        <f>IF(T22="","",ROUND(T22*0.1,2))</f>
        <v/>
      </c>
      <c r="AE22" s="44" t="str">
        <f>IF(U22="","",ROUND(U22*0.25,2))</f>
        <v/>
      </c>
      <c r="AF22" s="44" t="str">
        <f>IF(V22="","",ROUND(V22*0.1,2))</f>
        <v/>
      </c>
      <c r="AG22" s="44" t="str">
        <f>IF(W22="","",ROUND(W22*0.15,2))</f>
        <v/>
      </c>
      <c r="AH22" s="44" t="str">
        <f>IF(X22="","",ROUND(X22*0.1,2))</f>
        <v/>
      </c>
      <c r="AI22" s="44" t="str">
        <f>IF(Y22="","",ROUND(Y22*0.05,2))</f>
        <v/>
      </c>
      <c r="AJ22" s="44" t="str">
        <f>IF(Z22="","",ROUND(Z22*0.05,2))</f>
        <v/>
      </c>
      <c r="AK22" s="44" t="str">
        <f>IF(AA22="","",ROUND(AA22*0.05,2))</f>
        <v/>
      </c>
      <c r="AL22" s="44" t="str">
        <f>IF(AB22="","",ROUND(AB22*0.05,2))</f>
        <v/>
      </c>
      <c r="AM22" s="46" t="str">
        <f>IF(B22="","",IF(COUNT(S22:AB22)&lt;10,"",ROUND(SUM(AC22:AL22),2)))</f>
        <v/>
      </c>
      <c r="AN22" s="44" t="str">
        <f>IF(AM22="","",IF(AM22&gt;=90,"ល្អប្រសើរ",IF(AM22&gt;=80,"ល្អ",IF(AM22&gt;=70,"មធ្យមល្អ",IF(AM22&gt;=60,"មធ្យម","ត្រូវកែលម្អ")))))</f>
        <v/>
      </c>
      <c r="AO22" s="44" t="str">
        <f>IF(AM22="","",1+COUNTIF($AM$8:$AM$27,"&gt;"&amp;AM22))</f>
        <v/>
      </c>
      <c r="AP22" s="47"/>
    </row>
    <row r="23" spans="1:42" ht="21.95" customHeight="1" x14ac:dyDescent="0.2">
      <c r="A23" s="40">
        <v>16</v>
      </c>
      <c r="B23" s="41"/>
      <c r="C23" s="42"/>
      <c r="D23" s="41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4" t="str">
        <f>IF(B23="","",IF(COUNTA(E23:P23)=0,"",COUNTIF(E23:P23,"1")))</f>
        <v/>
      </c>
      <c r="R23" s="44" t="str">
        <f>IF(B23="","",IF(COUNTA(E23:P23)=0,"",ROUND((COUNTIF(E23:P23,"1")+0.5*COUNTIF(E23:P23,"L"))/12*100,0)))</f>
        <v/>
      </c>
      <c r="S23" s="45" t="str">
        <f>IF(B23="","",R23)</f>
        <v/>
      </c>
      <c r="T23" s="45"/>
      <c r="U23" s="45"/>
      <c r="V23" s="45"/>
      <c r="W23" s="45"/>
      <c r="X23" s="45"/>
      <c r="Y23" s="45"/>
      <c r="Z23" s="45"/>
      <c r="AA23" s="45"/>
      <c r="AB23" s="45"/>
      <c r="AC23" s="44" t="str">
        <f>IF(S23="","",ROUND(S23*0.1,2))</f>
        <v/>
      </c>
      <c r="AD23" s="44" t="str">
        <f>IF(T23="","",ROUND(T23*0.1,2))</f>
        <v/>
      </c>
      <c r="AE23" s="44" t="str">
        <f>IF(U23="","",ROUND(U23*0.25,2))</f>
        <v/>
      </c>
      <c r="AF23" s="44" t="str">
        <f>IF(V23="","",ROUND(V23*0.1,2))</f>
        <v/>
      </c>
      <c r="AG23" s="44" t="str">
        <f>IF(W23="","",ROUND(W23*0.15,2))</f>
        <v/>
      </c>
      <c r="AH23" s="44" t="str">
        <f>IF(X23="","",ROUND(X23*0.1,2))</f>
        <v/>
      </c>
      <c r="AI23" s="44" t="str">
        <f>IF(Y23="","",ROUND(Y23*0.05,2))</f>
        <v/>
      </c>
      <c r="AJ23" s="44" t="str">
        <f>IF(Z23="","",ROUND(Z23*0.05,2))</f>
        <v/>
      </c>
      <c r="AK23" s="44" t="str">
        <f>IF(AA23="","",ROUND(AA23*0.05,2))</f>
        <v/>
      </c>
      <c r="AL23" s="44" t="str">
        <f>IF(AB23="","",ROUND(AB23*0.05,2))</f>
        <v/>
      </c>
      <c r="AM23" s="46" t="str">
        <f>IF(B23="","",IF(COUNT(S23:AB23)&lt;10,"",ROUND(SUM(AC23:AL23),2)))</f>
        <v/>
      </c>
      <c r="AN23" s="44" t="str">
        <f>IF(AM23="","",IF(AM23&gt;=90,"ល្អប្រសើរ",IF(AM23&gt;=80,"ល្អ",IF(AM23&gt;=70,"មធ្យមល្អ",IF(AM23&gt;=60,"មធ្យម","ត្រូវកែលម្អ")))))</f>
        <v/>
      </c>
      <c r="AO23" s="44" t="str">
        <f>IF(AM23="","",1+COUNTIF($AM$8:$AM$27,"&gt;"&amp;AM23))</f>
        <v/>
      </c>
      <c r="AP23" s="47"/>
    </row>
    <row r="24" spans="1:42" ht="21.95" customHeight="1" x14ac:dyDescent="0.2">
      <c r="A24" s="40">
        <v>17</v>
      </c>
      <c r="B24" s="41"/>
      <c r="C24" s="42"/>
      <c r="D24" s="41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4" t="str">
        <f>IF(B24="","",IF(COUNTA(E24:P24)=0,"",COUNTIF(E24:P24,"1")))</f>
        <v/>
      </c>
      <c r="R24" s="44" t="str">
        <f>IF(B24="","",IF(COUNTA(E24:P24)=0,"",ROUND((COUNTIF(E24:P24,"1")+0.5*COUNTIF(E24:P24,"L"))/12*100,0)))</f>
        <v/>
      </c>
      <c r="S24" s="45" t="str">
        <f>IF(B24="","",R24)</f>
        <v/>
      </c>
      <c r="T24" s="45"/>
      <c r="U24" s="45"/>
      <c r="V24" s="45"/>
      <c r="W24" s="45"/>
      <c r="X24" s="45"/>
      <c r="Y24" s="45"/>
      <c r="Z24" s="45"/>
      <c r="AA24" s="45"/>
      <c r="AB24" s="45"/>
      <c r="AC24" s="44" t="str">
        <f>IF(S24="","",ROUND(S24*0.1,2))</f>
        <v/>
      </c>
      <c r="AD24" s="44" t="str">
        <f>IF(T24="","",ROUND(T24*0.1,2))</f>
        <v/>
      </c>
      <c r="AE24" s="44" t="str">
        <f>IF(U24="","",ROUND(U24*0.25,2))</f>
        <v/>
      </c>
      <c r="AF24" s="44" t="str">
        <f>IF(V24="","",ROUND(V24*0.1,2))</f>
        <v/>
      </c>
      <c r="AG24" s="44" t="str">
        <f>IF(W24="","",ROUND(W24*0.15,2))</f>
        <v/>
      </c>
      <c r="AH24" s="44" t="str">
        <f>IF(X24="","",ROUND(X24*0.1,2))</f>
        <v/>
      </c>
      <c r="AI24" s="44" t="str">
        <f>IF(Y24="","",ROUND(Y24*0.05,2))</f>
        <v/>
      </c>
      <c r="AJ24" s="44" t="str">
        <f>IF(Z24="","",ROUND(Z24*0.05,2))</f>
        <v/>
      </c>
      <c r="AK24" s="44" t="str">
        <f>IF(AA24="","",ROUND(AA24*0.05,2))</f>
        <v/>
      </c>
      <c r="AL24" s="44" t="str">
        <f>IF(AB24="","",ROUND(AB24*0.05,2))</f>
        <v/>
      </c>
      <c r="AM24" s="46" t="str">
        <f>IF(B24="","",IF(COUNT(S24:AB24)&lt;10,"",ROUND(SUM(AC24:AL24),2)))</f>
        <v/>
      </c>
      <c r="AN24" s="44" t="str">
        <f>IF(AM24="","",IF(AM24&gt;=90,"ល្អប្រសើរ",IF(AM24&gt;=80,"ល្អ",IF(AM24&gt;=70,"មធ្យមល្អ",IF(AM24&gt;=60,"មធ្យម","ត្រូវកែលម្អ")))))</f>
        <v/>
      </c>
      <c r="AO24" s="44" t="str">
        <f>IF(AM24="","",1+COUNTIF($AM$8:$AM$27,"&gt;"&amp;AM24))</f>
        <v/>
      </c>
      <c r="AP24" s="47"/>
    </row>
    <row r="25" spans="1:42" ht="21.95" customHeight="1" x14ac:dyDescent="0.2">
      <c r="A25" s="40">
        <v>18</v>
      </c>
      <c r="B25" s="41"/>
      <c r="C25" s="42"/>
      <c r="D25" s="41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4" t="str">
        <f>IF(B25="","",IF(COUNTA(E25:P25)=0,"",COUNTIF(E25:P25,"1")))</f>
        <v/>
      </c>
      <c r="R25" s="44" t="str">
        <f>IF(B25="","",IF(COUNTA(E25:P25)=0,"",ROUND((COUNTIF(E25:P25,"1")+0.5*COUNTIF(E25:P25,"L"))/12*100,0)))</f>
        <v/>
      </c>
      <c r="S25" s="45" t="str">
        <f>IF(B25="","",R25)</f>
        <v/>
      </c>
      <c r="T25" s="45"/>
      <c r="U25" s="45"/>
      <c r="V25" s="45"/>
      <c r="W25" s="45"/>
      <c r="X25" s="45"/>
      <c r="Y25" s="45"/>
      <c r="Z25" s="45"/>
      <c r="AA25" s="45"/>
      <c r="AB25" s="45"/>
      <c r="AC25" s="44" t="str">
        <f>IF(S25="","",ROUND(S25*0.1,2))</f>
        <v/>
      </c>
      <c r="AD25" s="44" t="str">
        <f>IF(T25="","",ROUND(T25*0.1,2))</f>
        <v/>
      </c>
      <c r="AE25" s="44" t="str">
        <f>IF(U25="","",ROUND(U25*0.25,2))</f>
        <v/>
      </c>
      <c r="AF25" s="44" t="str">
        <f>IF(V25="","",ROUND(V25*0.1,2))</f>
        <v/>
      </c>
      <c r="AG25" s="44" t="str">
        <f>IF(W25="","",ROUND(W25*0.15,2))</f>
        <v/>
      </c>
      <c r="AH25" s="44" t="str">
        <f>IF(X25="","",ROUND(X25*0.1,2))</f>
        <v/>
      </c>
      <c r="AI25" s="44" t="str">
        <f>IF(Y25="","",ROUND(Y25*0.05,2))</f>
        <v/>
      </c>
      <c r="AJ25" s="44" t="str">
        <f>IF(Z25="","",ROUND(Z25*0.05,2))</f>
        <v/>
      </c>
      <c r="AK25" s="44" t="str">
        <f>IF(AA25="","",ROUND(AA25*0.05,2))</f>
        <v/>
      </c>
      <c r="AL25" s="44" t="str">
        <f>IF(AB25="","",ROUND(AB25*0.05,2))</f>
        <v/>
      </c>
      <c r="AM25" s="46" t="str">
        <f>IF(B25="","",IF(COUNT(S25:AB25)&lt;10,"",ROUND(SUM(AC25:AL25),2)))</f>
        <v/>
      </c>
      <c r="AN25" s="44" t="str">
        <f>IF(AM25="","",IF(AM25&gt;=90,"ល្អប្រសើរ",IF(AM25&gt;=80,"ល្អ",IF(AM25&gt;=70,"មធ្យមល្អ",IF(AM25&gt;=60,"មធ្យម","ត្រូវកែលម្អ")))))</f>
        <v/>
      </c>
      <c r="AO25" s="44" t="str">
        <f>IF(AM25="","",1+COUNTIF($AM$8:$AM$27,"&gt;"&amp;AM25))</f>
        <v/>
      </c>
      <c r="AP25" s="47"/>
    </row>
    <row r="26" spans="1:42" ht="21.95" customHeight="1" x14ac:dyDescent="0.2">
      <c r="A26" s="40">
        <v>19</v>
      </c>
      <c r="B26" s="41"/>
      <c r="C26" s="42"/>
      <c r="D26" s="41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 t="str">
        <f>IF(B26="","",IF(COUNTA(E26:P26)=0,"",COUNTIF(E26:P26,"1")))</f>
        <v/>
      </c>
      <c r="R26" s="44" t="str">
        <f>IF(B26="","",IF(COUNTA(E26:P26)=0,"",ROUND((COUNTIF(E26:P26,"1")+0.5*COUNTIF(E26:P26,"L"))/12*100,0)))</f>
        <v/>
      </c>
      <c r="S26" s="45" t="str">
        <f>IF(B26="","",R26)</f>
        <v/>
      </c>
      <c r="T26" s="45"/>
      <c r="U26" s="45"/>
      <c r="V26" s="45"/>
      <c r="W26" s="45"/>
      <c r="X26" s="45"/>
      <c r="Y26" s="45"/>
      <c r="Z26" s="45"/>
      <c r="AA26" s="45"/>
      <c r="AB26" s="45"/>
      <c r="AC26" s="44" t="str">
        <f>IF(S26="","",ROUND(S26*0.1,2))</f>
        <v/>
      </c>
      <c r="AD26" s="44" t="str">
        <f>IF(T26="","",ROUND(T26*0.1,2))</f>
        <v/>
      </c>
      <c r="AE26" s="44" t="str">
        <f>IF(U26="","",ROUND(U26*0.25,2))</f>
        <v/>
      </c>
      <c r="AF26" s="44" t="str">
        <f>IF(V26="","",ROUND(V26*0.1,2))</f>
        <v/>
      </c>
      <c r="AG26" s="44" t="str">
        <f>IF(W26="","",ROUND(W26*0.15,2))</f>
        <v/>
      </c>
      <c r="AH26" s="44" t="str">
        <f>IF(X26="","",ROUND(X26*0.1,2))</f>
        <v/>
      </c>
      <c r="AI26" s="44" t="str">
        <f>IF(Y26="","",ROUND(Y26*0.05,2))</f>
        <v/>
      </c>
      <c r="AJ26" s="44" t="str">
        <f>IF(Z26="","",ROUND(Z26*0.05,2))</f>
        <v/>
      </c>
      <c r="AK26" s="44" t="str">
        <f>IF(AA26="","",ROUND(AA26*0.05,2))</f>
        <v/>
      </c>
      <c r="AL26" s="44" t="str">
        <f>IF(AB26="","",ROUND(AB26*0.05,2))</f>
        <v/>
      </c>
      <c r="AM26" s="46" t="str">
        <f>IF(B26="","",IF(COUNT(S26:AB26)&lt;10,"",ROUND(SUM(AC26:AL26),2)))</f>
        <v/>
      </c>
      <c r="AN26" s="44" t="str">
        <f>IF(AM26="","",IF(AM26&gt;=90,"ល្អប្រសើរ",IF(AM26&gt;=80,"ល្អ",IF(AM26&gt;=70,"មធ្យមល្អ",IF(AM26&gt;=60,"មធ្យម","ត្រូវកែលម្អ")))))</f>
        <v/>
      </c>
      <c r="AO26" s="44" t="str">
        <f>IF(AM26="","",1+COUNTIF($AM$8:$AM$27,"&gt;"&amp;AM26))</f>
        <v/>
      </c>
      <c r="AP26" s="47"/>
    </row>
    <row r="27" spans="1:42" ht="21.95" customHeight="1" x14ac:dyDescent="0.2">
      <c r="A27" s="48">
        <v>20</v>
      </c>
      <c r="B27" s="49"/>
      <c r="C27" s="50"/>
      <c r="D27" s="49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 t="str">
        <f>IF(B27="","",IF(COUNTA(E27:P27)=0,"",COUNTIF(E27:P27,"1")))</f>
        <v/>
      </c>
      <c r="R27" s="52" t="str">
        <f>IF(B27="","",IF(COUNTA(E27:P27)=0,"",ROUND((COUNTIF(E27:P27,"1")+0.5*COUNTIF(E27:P27,"L"))/12*100,0)))</f>
        <v/>
      </c>
      <c r="S27" s="53" t="str">
        <f>IF(B27="","",R27)</f>
        <v/>
      </c>
      <c r="T27" s="53"/>
      <c r="U27" s="53"/>
      <c r="V27" s="53"/>
      <c r="W27" s="53"/>
      <c r="X27" s="53"/>
      <c r="Y27" s="53"/>
      <c r="Z27" s="53"/>
      <c r="AA27" s="53"/>
      <c r="AB27" s="53"/>
      <c r="AC27" s="52" t="str">
        <f>IF(S27="","",ROUND(S27*0.1,2))</f>
        <v/>
      </c>
      <c r="AD27" s="52" t="str">
        <f>IF(T27="","",ROUND(T27*0.1,2))</f>
        <v/>
      </c>
      <c r="AE27" s="52" t="str">
        <f>IF(U27="","",ROUND(U27*0.25,2))</f>
        <v/>
      </c>
      <c r="AF27" s="52" t="str">
        <f>IF(V27="","",ROUND(V27*0.1,2))</f>
        <v/>
      </c>
      <c r="AG27" s="52" t="str">
        <f>IF(W27="","",ROUND(W27*0.15,2))</f>
        <v/>
      </c>
      <c r="AH27" s="52" t="str">
        <f>IF(X27="","",ROUND(X27*0.1,2))</f>
        <v/>
      </c>
      <c r="AI27" s="52" t="str">
        <f>IF(Y27="","",ROUND(Y27*0.05,2))</f>
        <v/>
      </c>
      <c r="AJ27" s="52" t="str">
        <f>IF(Z27="","",ROUND(Z27*0.05,2))</f>
        <v/>
      </c>
      <c r="AK27" s="52" t="str">
        <f>IF(AA27="","",ROUND(AA27*0.05,2))</f>
        <v/>
      </c>
      <c r="AL27" s="52" t="str">
        <f>IF(AB27="","",ROUND(AB27*0.05,2))</f>
        <v/>
      </c>
      <c r="AM27" s="54" t="str">
        <f>IF(B27="","",IF(COUNT(S27:AB27)&lt;10,"",ROUND(SUM(AC27:AL27),2)))</f>
        <v/>
      </c>
      <c r="AN27" s="52" t="str">
        <f>IF(AM27="","",IF(AM27&gt;=90,"ល្អប្រសើរ",IF(AM27&gt;=80,"ល្អ",IF(AM27&gt;=70,"មធ្យមល្អ",IF(AM27&gt;=60,"មធ្យម","ត្រូវកែលម្អ")))))</f>
        <v/>
      </c>
      <c r="AO27" s="52" t="str">
        <f>IF(AM27="","",1+COUNTIF($AM$8:$AM$27,"&gt;"&amp;AM27))</f>
        <v/>
      </c>
      <c r="AP27" s="55"/>
    </row>
  </sheetData>
  <mergeCells count="8">
    <mergeCell ref="A1:AP1"/>
    <mergeCell ref="A2:AP2"/>
    <mergeCell ref="A3:AP3"/>
    <mergeCell ref="E5:P5"/>
    <mergeCell ref="Q5:R5"/>
    <mergeCell ref="S5:AB5"/>
    <mergeCell ref="AC5:AL5"/>
    <mergeCell ref="AM5:AP5"/>
  </mergeCells>
  <dataValidations count="2">
    <dataValidation type="list" sqref="E8:P27" xr:uid="{00000000-0002-0000-0100-000000000000}">
      <formula1>"1,L,P,A"</formula1>
    </dataValidation>
    <dataValidation sqref="T8:AB27" xr:uid="{00000000-0002-0000-0100-000001000000}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5"/>
  <sheetViews>
    <sheetView zoomScaleNormal="100" zoomScaleSheetLayoutView="100" workbookViewId="0"/>
  </sheetViews>
  <sheetFormatPr defaultRowHeight="15" x14ac:dyDescent="0.2"/>
  <cols>
    <col min="1" max="1" width="4.9765625" customWidth="1"/>
    <col min="2" max="2" width="9.953125" customWidth="1"/>
    <col min="3" max="3" width="29.99609375" customWidth="1"/>
    <col min="4" max="4" width="22.05859375" customWidth="1"/>
    <col min="5" max="6" width="18.0234375" customWidth="1"/>
    <col min="7" max="9" width="13.046875" customWidth="1"/>
    <col min="10" max="10" width="9.953125" customWidth="1"/>
    <col min="11" max="11" width="11.97265625" customWidth="1"/>
    <col min="12" max="12" width="9.953125" customWidth="1"/>
    <col min="13" max="13" width="34.03125" customWidth="1"/>
    <col min="14" max="14" width="18.0234375" customWidth="1"/>
    <col min="15" max="16" width="9.953125" customWidth="1"/>
    <col min="17" max="17" width="32.015625" customWidth="1"/>
  </cols>
  <sheetData>
    <row r="1" spans="1:17" ht="27.95" customHeight="1" x14ac:dyDescent="0.2">
      <c r="A1" s="147" t="s">
        <v>180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spans="1:17" x14ac:dyDescent="0.2">
      <c r="A2" s="148" t="s">
        <v>181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</row>
    <row r="3" spans="1:17" x14ac:dyDescent="0.2">
      <c r="A3" s="149" t="s">
        <v>182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</row>
    <row r="5" spans="1:17" ht="33.950000000000003" customHeight="1" x14ac:dyDescent="0.2">
      <c r="A5" s="56" t="s">
        <v>16</v>
      </c>
      <c r="B5" s="57" t="s">
        <v>183</v>
      </c>
      <c r="C5" s="57" t="s">
        <v>184</v>
      </c>
      <c r="D5" s="57" t="s">
        <v>185</v>
      </c>
      <c r="E5" s="57" t="s">
        <v>186</v>
      </c>
      <c r="F5" s="57" t="s">
        <v>187</v>
      </c>
      <c r="G5" s="57" t="s">
        <v>188</v>
      </c>
      <c r="H5" s="57" t="s">
        <v>89</v>
      </c>
      <c r="I5" s="57" t="s">
        <v>189</v>
      </c>
      <c r="J5" s="57" t="s">
        <v>190</v>
      </c>
      <c r="K5" s="57" t="s">
        <v>191</v>
      </c>
      <c r="L5" s="57" t="s">
        <v>192</v>
      </c>
      <c r="M5" s="57" t="s">
        <v>193</v>
      </c>
      <c r="N5" s="57" t="s">
        <v>194</v>
      </c>
      <c r="O5" s="57" t="s">
        <v>195</v>
      </c>
      <c r="P5" s="57" t="s">
        <v>196</v>
      </c>
      <c r="Q5" s="58" t="s">
        <v>20</v>
      </c>
    </row>
    <row r="6" spans="1:17" ht="32.1" customHeight="1" x14ac:dyDescent="0.2">
      <c r="A6" s="59">
        <v>1</v>
      </c>
      <c r="B6" s="60" t="s">
        <v>197</v>
      </c>
      <c r="C6" s="60" t="s">
        <v>198</v>
      </c>
      <c r="D6" s="60" t="s">
        <v>199</v>
      </c>
      <c r="E6" s="60" t="s">
        <v>100</v>
      </c>
      <c r="F6" s="61" t="s">
        <v>173</v>
      </c>
      <c r="G6" s="62"/>
      <c r="H6" s="62"/>
      <c r="I6" s="62">
        <v>46168</v>
      </c>
      <c r="J6" s="60" t="s">
        <v>200</v>
      </c>
      <c r="K6" s="60" t="s">
        <v>201</v>
      </c>
      <c r="L6" s="63">
        <v>100</v>
      </c>
      <c r="M6" s="61" t="s">
        <v>202</v>
      </c>
      <c r="N6" s="60"/>
      <c r="O6" s="60"/>
      <c r="P6" s="60" t="str">
        <f ca="1">IF(H6="","",IF(I6&lt;&gt;"",MAX(0,I6-H6),IF(TODAY()&gt;H6,TODAY()-H6,0)))</f>
        <v/>
      </c>
      <c r="Q6" s="64" t="s">
        <v>203</v>
      </c>
    </row>
    <row r="7" spans="1:17" ht="32.1" customHeight="1" x14ac:dyDescent="0.2">
      <c r="A7" s="59">
        <v>2</v>
      </c>
      <c r="B7" s="60" t="s">
        <v>204</v>
      </c>
      <c r="C7" s="60" t="s">
        <v>205</v>
      </c>
      <c r="D7" s="60" t="s">
        <v>206</v>
      </c>
      <c r="E7" s="60" t="s">
        <v>100</v>
      </c>
      <c r="F7" s="61" t="s">
        <v>173</v>
      </c>
      <c r="G7" s="62"/>
      <c r="H7" s="62"/>
      <c r="I7" s="62">
        <v>46176</v>
      </c>
      <c r="J7" s="60" t="s">
        <v>200</v>
      </c>
      <c r="K7" s="60" t="s">
        <v>201</v>
      </c>
      <c r="L7" s="63">
        <v>100</v>
      </c>
      <c r="M7" s="61" t="s">
        <v>207</v>
      </c>
      <c r="N7" s="60"/>
      <c r="O7" s="60"/>
      <c r="P7" s="60" t="str">
        <f ca="1">IF(H7="","",IF(I7&lt;&gt;"",MAX(0,I7-H7),IF(TODAY()&gt;H7,TODAY()-H7,0)))</f>
        <v/>
      </c>
      <c r="Q7" s="64" t="s">
        <v>208</v>
      </c>
    </row>
    <row r="8" spans="1:17" ht="32.1" customHeight="1" x14ac:dyDescent="0.2">
      <c r="A8" s="59">
        <v>3</v>
      </c>
      <c r="B8" s="60" t="s">
        <v>209</v>
      </c>
      <c r="C8" s="60" t="s">
        <v>210</v>
      </c>
      <c r="D8" s="60" t="s">
        <v>211</v>
      </c>
      <c r="E8" s="60" t="s">
        <v>100</v>
      </c>
      <c r="F8" s="61" t="s">
        <v>173</v>
      </c>
      <c r="G8" s="62"/>
      <c r="H8" s="62"/>
      <c r="I8" s="62">
        <v>46182</v>
      </c>
      <c r="J8" s="60" t="s">
        <v>200</v>
      </c>
      <c r="K8" s="60" t="s">
        <v>201</v>
      </c>
      <c r="L8" s="63">
        <v>100</v>
      </c>
      <c r="M8" s="61" t="s">
        <v>212</v>
      </c>
      <c r="N8" s="60"/>
      <c r="O8" s="60"/>
      <c r="P8" s="60" t="str">
        <f ca="1">IF(H8="","",IF(I8&lt;&gt;"",MAX(0,I8-H8),IF(TODAY()&gt;H8,TODAY()-H8,0)))</f>
        <v/>
      </c>
      <c r="Q8" s="64" t="s">
        <v>213</v>
      </c>
    </row>
    <row r="9" spans="1:17" ht="32.1" customHeight="1" x14ac:dyDescent="0.2">
      <c r="A9" s="59">
        <v>4</v>
      </c>
      <c r="B9" s="60" t="s">
        <v>214</v>
      </c>
      <c r="C9" s="60" t="s">
        <v>215</v>
      </c>
      <c r="D9" s="60" t="s">
        <v>216</v>
      </c>
      <c r="E9" s="60" t="s">
        <v>100</v>
      </c>
      <c r="F9" s="61" t="s">
        <v>173</v>
      </c>
      <c r="G9" s="62"/>
      <c r="H9" s="62"/>
      <c r="I9" s="62">
        <v>46182</v>
      </c>
      <c r="J9" s="60" t="s">
        <v>200</v>
      </c>
      <c r="K9" s="60" t="s">
        <v>201</v>
      </c>
      <c r="L9" s="63">
        <v>100</v>
      </c>
      <c r="M9" s="61" t="s">
        <v>217</v>
      </c>
      <c r="N9" s="60"/>
      <c r="O9" s="60"/>
      <c r="P9" s="60" t="str">
        <f ca="1">IF(H9="","",IF(I9&lt;&gt;"",MAX(0,I9-H9),IF(TODAY()&gt;H9,TODAY()-H9,0)))</f>
        <v/>
      </c>
      <c r="Q9" s="64" t="s">
        <v>218</v>
      </c>
    </row>
    <row r="10" spans="1:17" ht="32.1" customHeight="1" x14ac:dyDescent="0.2">
      <c r="A10" s="59">
        <v>5</v>
      </c>
      <c r="B10" s="60" t="s">
        <v>219</v>
      </c>
      <c r="C10" s="60" t="s">
        <v>220</v>
      </c>
      <c r="D10" s="60" t="s">
        <v>221</v>
      </c>
      <c r="E10" s="60" t="s">
        <v>100</v>
      </c>
      <c r="F10" s="61" t="s">
        <v>173</v>
      </c>
      <c r="G10" s="62"/>
      <c r="H10" s="62"/>
      <c r="I10" s="62">
        <v>46183</v>
      </c>
      <c r="J10" s="60" t="s">
        <v>200</v>
      </c>
      <c r="K10" s="60" t="s">
        <v>201</v>
      </c>
      <c r="L10" s="63">
        <v>100</v>
      </c>
      <c r="M10" s="61" t="s">
        <v>222</v>
      </c>
      <c r="N10" s="60"/>
      <c r="O10" s="60"/>
      <c r="P10" s="60" t="str">
        <f ca="1">IF(H10="","",IF(I10&lt;&gt;"",MAX(0,I10-H10),IF(TODAY()&gt;H10,TODAY()-H10,0)))</f>
        <v/>
      </c>
      <c r="Q10" s="64" t="s">
        <v>223</v>
      </c>
    </row>
    <row r="11" spans="1:17" ht="32.1" customHeight="1" x14ac:dyDescent="0.2">
      <c r="A11" s="59">
        <v>6</v>
      </c>
      <c r="B11" s="60" t="s">
        <v>224</v>
      </c>
      <c r="C11" s="60" t="s">
        <v>225</v>
      </c>
      <c r="D11" s="60" t="s">
        <v>226</v>
      </c>
      <c r="E11" s="60" t="s">
        <v>100</v>
      </c>
      <c r="F11" s="61" t="s">
        <v>173</v>
      </c>
      <c r="G11" s="62"/>
      <c r="H11" s="62"/>
      <c r="I11" s="62">
        <v>46211</v>
      </c>
      <c r="J11" s="60" t="s">
        <v>200</v>
      </c>
      <c r="K11" s="60" t="s">
        <v>201</v>
      </c>
      <c r="L11" s="63">
        <v>100</v>
      </c>
      <c r="M11" s="61" t="s">
        <v>227</v>
      </c>
      <c r="N11" s="60"/>
      <c r="O11" s="60"/>
      <c r="P11" s="60" t="str">
        <f ca="1">IF(H11="","",IF(I11&lt;&gt;"",MAX(0,I11-H11),IF(TODAY()&gt;H11,TODAY()-H11,0)))</f>
        <v/>
      </c>
      <c r="Q11" s="64" t="s">
        <v>228</v>
      </c>
    </row>
    <row r="12" spans="1:17" ht="32.1" customHeight="1" x14ac:dyDescent="0.2">
      <c r="A12" s="59">
        <v>7</v>
      </c>
      <c r="B12" s="60" t="s">
        <v>229</v>
      </c>
      <c r="C12" s="60" t="s">
        <v>230</v>
      </c>
      <c r="D12" s="60" t="s">
        <v>231</v>
      </c>
      <c r="E12" s="60" t="s">
        <v>100</v>
      </c>
      <c r="F12" s="61" t="s">
        <v>173</v>
      </c>
      <c r="G12" s="62"/>
      <c r="H12" s="62"/>
      <c r="I12" s="62">
        <v>46224</v>
      </c>
      <c r="J12" s="60" t="s">
        <v>200</v>
      </c>
      <c r="K12" s="60" t="s">
        <v>201</v>
      </c>
      <c r="L12" s="63">
        <v>100</v>
      </c>
      <c r="M12" s="61" t="s">
        <v>232</v>
      </c>
      <c r="N12" s="60"/>
      <c r="O12" s="60"/>
      <c r="P12" s="60" t="str">
        <f ca="1">IF(H12="","",IF(I12&lt;&gt;"",MAX(0,I12-H12),IF(TODAY()&gt;H12,TODAY()-H12,0)))</f>
        <v/>
      </c>
      <c r="Q12" s="64" t="s">
        <v>233</v>
      </c>
    </row>
    <row r="13" spans="1:17" ht="32.1" customHeight="1" x14ac:dyDescent="0.2">
      <c r="A13" s="59">
        <v>8</v>
      </c>
      <c r="B13" s="60" t="s">
        <v>234</v>
      </c>
      <c r="C13" s="60" t="s">
        <v>235</v>
      </c>
      <c r="D13" s="60" t="s">
        <v>236</v>
      </c>
      <c r="E13" s="60" t="s">
        <v>100</v>
      </c>
      <c r="F13" s="61" t="s">
        <v>173</v>
      </c>
      <c r="G13" s="62"/>
      <c r="H13" s="62"/>
      <c r="I13" s="62">
        <v>46241</v>
      </c>
      <c r="J13" s="60" t="s">
        <v>200</v>
      </c>
      <c r="K13" s="60" t="s">
        <v>201</v>
      </c>
      <c r="L13" s="63">
        <v>100</v>
      </c>
      <c r="M13" s="61" t="s">
        <v>237</v>
      </c>
      <c r="N13" s="60"/>
      <c r="O13" s="60"/>
      <c r="P13" s="60" t="str">
        <f ca="1">IF(H13="","",IF(I13&lt;&gt;"",MAX(0,I13-H13),IF(TODAY()&gt;H13,TODAY()-H13,0)))</f>
        <v/>
      </c>
      <c r="Q13" s="64" t="s">
        <v>238</v>
      </c>
    </row>
    <row r="14" spans="1:17" ht="32.1" customHeight="1" x14ac:dyDescent="0.2">
      <c r="A14" s="59">
        <v>9</v>
      </c>
      <c r="B14" s="60" t="s">
        <v>239</v>
      </c>
      <c r="C14" s="60" t="s">
        <v>240</v>
      </c>
      <c r="D14" s="60" t="s">
        <v>241</v>
      </c>
      <c r="E14" s="60" t="s">
        <v>100</v>
      </c>
      <c r="F14" s="61" t="s">
        <v>173</v>
      </c>
      <c r="G14" s="62"/>
      <c r="H14" s="62"/>
      <c r="I14" s="62">
        <v>46241</v>
      </c>
      <c r="J14" s="60" t="s">
        <v>200</v>
      </c>
      <c r="K14" s="60" t="s">
        <v>201</v>
      </c>
      <c r="L14" s="63">
        <v>100</v>
      </c>
      <c r="M14" s="61" t="s">
        <v>242</v>
      </c>
      <c r="N14" s="60"/>
      <c r="O14" s="60"/>
      <c r="P14" s="60" t="str">
        <f ca="1">IF(H14="","",IF(I14&lt;&gt;"",MAX(0,I14-H14),IF(TODAY()&gt;H14,TODAY()-H14,0)))</f>
        <v/>
      </c>
      <c r="Q14" s="64" t="s">
        <v>243</v>
      </c>
    </row>
    <row r="15" spans="1:17" ht="32.1" customHeight="1" x14ac:dyDescent="0.2">
      <c r="A15" s="59">
        <v>10</v>
      </c>
      <c r="B15" s="60" t="s">
        <v>244</v>
      </c>
      <c r="C15" s="60" t="s">
        <v>245</v>
      </c>
      <c r="D15" s="60" t="s">
        <v>246</v>
      </c>
      <c r="E15" s="60" t="s">
        <v>100</v>
      </c>
      <c r="F15" s="61" t="s">
        <v>173</v>
      </c>
      <c r="G15" s="62"/>
      <c r="H15" s="62"/>
      <c r="I15" s="62">
        <v>46241</v>
      </c>
      <c r="J15" s="60" t="s">
        <v>200</v>
      </c>
      <c r="K15" s="60" t="s">
        <v>201</v>
      </c>
      <c r="L15" s="63">
        <v>100</v>
      </c>
      <c r="M15" s="61" t="s">
        <v>247</v>
      </c>
      <c r="N15" s="60"/>
      <c r="O15" s="60"/>
      <c r="P15" s="60" t="str">
        <f ca="1">IF(H15="","",IF(I15&lt;&gt;"",MAX(0,I15-H15),IF(TODAY()&gt;H15,TODAY()-H15,0)))</f>
        <v/>
      </c>
      <c r="Q15" s="64" t="s">
        <v>248</v>
      </c>
    </row>
    <row r="16" spans="1:17" ht="32.1" customHeight="1" x14ac:dyDescent="0.2">
      <c r="A16" s="59">
        <v>11</v>
      </c>
      <c r="B16" s="60" t="s">
        <v>249</v>
      </c>
      <c r="C16" s="60" t="s">
        <v>250</v>
      </c>
      <c r="D16" s="60" t="s">
        <v>251</v>
      </c>
      <c r="E16" s="60" t="s">
        <v>100</v>
      </c>
      <c r="F16" s="61" t="s">
        <v>173</v>
      </c>
      <c r="G16" s="62"/>
      <c r="H16" s="62"/>
      <c r="I16" s="62">
        <v>46244</v>
      </c>
      <c r="J16" s="60" t="s">
        <v>200</v>
      </c>
      <c r="K16" s="60" t="s">
        <v>201</v>
      </c>
      <c r="L16" s="63">
        <v>100</v>
      </c>
      <c r="M16" s="61" t="s">
        <v>252</v>
      </c>
      <c r="N16" s="60"/>
      <c r="O16" s="60"/>
      <c r="P16" s="60" t="str">
        <f ca="1">IF(H16="","",IF(I16&lt;&gt;"",MAX(0,I16-H16),IF(TODAY()&gt;H16,TODAY()-H16,0)))</f>
        <v/>
      </c>
      <c r="Q16" s="64" t="s">
        <v>253</v>
      </c>
    </row>
    <row r="17" spans="1:17" ht="32.1" customHeight="1" x14ac:dyDescent="0.2">
      <c r="A17" s="59">
        <v>12</v>
      </c>
      <c r="B17" s="60" t="s">
        <v>254</v>
      </c>
      <c r="C17" s="60" t="s">
        <v>255</v>
      </c>
      <c r="D17" s="60" t="s">
        <v>256</v>
      </c>
      <c r="E17" s="60" t="s">
        <v>104</v>
      </c>
      <c r="F17" s="61" t="s">
        <v>175</v>
      </c>
      <c r="G17" s="62"/>
      <c r="H17" s="62"/>
      <c r="I17" s="62">
        <v>46260</v>
      </c>
      <c r="J17" s="60" t="s">
        <v>200</v>
      </c>
      <c r="K17" s="60" t="s">
        <v>201</v>
      </c>
      <c r="L17" s="63">
        <v>100</v>
      </c>
      <c r="M17" s="61" t="s">
        <v>257</v>
      </c>
      <c r="N17" s="60"/>
      <c r="O17" s="60"/>
      <c r="P17" s="60" t="str">
        <f ca="1">IF(H17="","",IF(I17&lt;&gt;"",MAX(0,I17-H17),IF(TODAY()&gt;H17,TODAY()-H17,0)))</f>
        <v/>
      </c>
      <c r="Q17" s="64" t="s">
        <v>258</v>
      </c>
    </row>
    <row r="18" spans="1:17" ht="32.1" customHeight="1" x14ac:dyDescent="0.2">
      <c r="A18" s="59">
        <v>13</v>
      </c>
      <c r="B18" s="60" t="s">
        <v>259</v>
      </c>
      <c r="C18" s="60" t="s">
        <v>260</v>
      </c>
      <c r="D18" s="60" t="s">
        <v>261</v>
      </c>
      <c r="E18" s="60" t="s">
        <v>108</v>
      </c>
      <c r="F18" s="61" t="s">
        <v>177</v>
      </c>
      <c r="G18" s="62"/>
      <c r="H18" s="62"/>
      <c r="I18" s="62">
        <v>46265</v>
      </c>
      <c r="J18" s="60" t="s">
        <v>200</v>
      </c>
      <c r="K18" s="60" t="s">
        <v>201</v>
      </c>
      <c r="L18" s="63">
        <v>100</v>
      </c>
      <c r="M18" s="61" t="s">
        <v>262</v>
      </c>
      <c r="N18" s="60"/>
      <c r="O18" s="60"/>
      <c r="P18" s="60" t="str">
        <f ca="1">IF(H18="","",IF(I18&lt;&gt;"",MAX(0,I18-H18),IF(TODAY()&gt;H18,TODAY()-H18,0)))</f>
        <v/>
      </c>
      <c r="Q18" s="64" t="s">
        <v>263</v>
      </c>
    </row>
    <row r="19" spans="1:17" ht="32.1" customHeight="1" x14ac:dyDescent="0.2">
      <c r="A19" s="59">
        <v>14</v>
      </c>
      <c r="B19" s="60" t="s">
        <v>264</v>
      </c>
      <c r="C19" s="60" t="s">
        <v>265</v>
      </c>
      <c r="D19" s="60" t="s">
        <v>266</v>
      </c>
      <c r="E19" s="60" t="s">
        <v>108</v>
      </c>
      <c r="F19" s="61" t="s">
        <v>177</v>
      </c>
      <c r="G19" s="62"/>
      <c r="H19" s="62"/>
      <c r="I19" s="62">
        <v>46268</v>
      </c>
      <c r="J19" s="60" t="s">
        <v>200</v>
      </c>
      <c r="K19" s="60" t="s">
        <v>201</v>
      </c>
      <c r="L19" s="63">
        <v>100</v>
      </c>
      <c r="M19" s="61" t="s">
        <v>267</v>
      </c>
      <c r="N19" s="60"/>
      <c r="O19" s="60"/>
      <c r="P19" s="60" t="str">
        <f ca="1">IF(H19="","",IF(I19&lt;&gt;"",MAX(0,I19-H19),IF(TODAY()&gt;H19,TODAY()-H19,0)))</f>
        <v/>
      </c>
      <c r="Q19" s="64" t="s">
        <v>263</v>
      </c>
    </row>
    <row r="20" spans="1:17" ht="32.1" customHeight="1" x14ac:dyDescent="0.2">
      <c r="A20" s="59">
        <v>15</v>
      </c>
      <c r="B20" s="60" t="s">
        <v>268</v>
      </c>
      <c r="C20" s="60" t="s">
        <v>269</v>
      </c>
      <c r="D20" s="60" t="s">
        <v>270</v>
      </c>
      <c r="E20" s="60" t="s">
        <v>108</v>
      </c>
      <c r="F20" s="61" t="s">
        <v>177</v>
      </c>
      <c r="G20" s="62"/>
      <c r="H20" s="62"/>
      <c r="I20" s="62">
        <v>46271</v>
      </c>
      <c r="J20" s="60" t="s">
        <v>200</v>
      </c>
      <c r="K20" s="60" t="s">
        <v>201</v>
      </c>
      <c r="L20" s="63">
        <v>100</v>
      </c>
      <c r="M20" s="61" t="s">
        <v>271</v>
      </c>
      <c r="N20" s="60"/>
      <c r="O20" s="60"/>
      <c r="P20" s="60" t="str">
        <f ca="1">IF(H20="","",IF(I20&lt;&gt;"",MAX(0,I20-H20),IF(TODAY()&gt;H20,TODAY()-H20,0)))</f>
        <v/>
      </c>
      <c r="Q20" s="64" t="s">
        <v>272</v>
      </c>
    </row>
    <row r="21" spans="1:17" ht="32.1" customHeight="1" x14ac:dyDescent="0.2">
      <c r="A21" s="59">
        <v>16</v>
      </c>
      <c r="B21" s="60" t="s">
        <v>273</v>
      </c>
      <c r="C21" s="60" t="s">
        <v>274</v>
      </c>
      <c r="D21" s="60" t="s">
        <v>275</v>
      </c>
      <c r="E21" s="60" t="s">
        <v>104</v>
      </c>
      <c r="F21" s="61" t="s">
        <v>175</v>
      </c>
      <c r="G21" s="62"/>
      <c r="H21" s="62"/>
      <c r="I21" s="62">
        <v>46272</v>
      </c>
      <c r="J21" s="60" t="s">
        <v>200</v>
      </c>
      <c r="K21" s="60" t="s">
        <v>201</v>
      </c>
      <c r="L21" s="63">
        <v>100</v>
      </c>
      <c r="M21" s="61" t="s">
        <v>276</v>
      </c>
      <c r="N21" s="60"/>
      <c r="O21" s="60"/>
      <c r="P21" s="60" t="str">
        <f ca="1">IF(H21="","",IF(I21&lt;&gt;"",MAX(0,I21-H21),IF(TODAY()&gt;H21,TODAY()-H21,0)))</f>
        <v/>
      </c>
      <c r="Q21" s="64" t="s">
        <v>277</v>
      </c>
    </row>
    <row r="22" spans="1:17" ht="32.1" customHeight="1" x14ac:dyDescent="0.2">
      <c r="A22" s="59">
        <v>17</v>
      </c>
      <c r="B22" s="60" t="s">
        <v>278</v>
      </c>
      <c r="C22" s="60" t="s">
        <v>279</v>
      </c>
      <c r="D22" s="60" t="s">
        <v>275</v>
      </c>
      <c r="E22" s="60" t="s">
        <v>104</v>
      </c>
      <c r="F22" s="61" t="s">
        <v>175</v>
      </c>
      <c r="G22" s="62"/>
      <c r="H22" s="62"/>
      <c r="I22" s="62">
        <v>46273</v>
      </c>
      <c r="J22" s="60" t="s">
        <v>200</v>
      </c>
      <c r="K22" s="60" t="s">
        <v>201</v>
      </c>
      <c r="L22" s="63">
        <v>100</v>
      </c>
      <c r="M22" s="61" t="s">
        <v>280</v>
      </c>
      <c r="N22" s="60"/>
      <c r="O22" s="60"/>
      <c r="P22" s="60" t="str">
        <f ca="1">IF(H22="","",IF(I22&lt;&gt;"",MAX(0,I22-H22),IF(TODAY()&gt;H22,TODAY()-H22,0)))</f>
        <v/>
      </c>
      <c r="Q22" s="64" t="s">
        <v>258</v>
      </c>
    </row>
    <row r="23" spans="1:17" ht="32.1" customHeight="1" x14ac:dyDescent="0.2">
      <c r="A23" s="59">
        <v>18</v>
      </c>
      <c r="B23" s="60" t="s">
        <v>281</v>
      </c>
      <c r="C23" s="60" t="s">
        <v>282</v>
      </c>
      <c r="D23" s="60" t="s">
        <v>283</v>
      </c>
      <c r="E23" s="60" t="s">
        <v>108</v>
      </c>
      <c r="F23" s="61" t="s">
        <v>177</v>
      </c>
      <c r="G23" s="62"/>
      <c r="H23" s="62"/>
      <c r="I23" s="62">
        <v>46273</v>
      </c>
      <c r="J23" s="60" t="s">
        <v>200</v>
      </c>
      <c r="K23" s="60" t="s">
        <v>201</v>
      </c>
      <c r="L23" s="63">
        <v>100</v>
      </c>
      <c r="M23" s="61" t="s">
        <v>284</v>
      </c>
      <c r="N23" s="60"/>
      <c r="O23" s="60"/>
      <c r="P23" s="60" t="str">
        <f ca="1">IF(H23="","",IF(I23&lt;&gt;"",MAX(0,I23-H23),IF(TODAY()&gt;H23,TODAY()-H23,0)))</f>
        <v/>
      </c>
      <c r="Q23" s="64" t="s">
        <v>285</v>
      </c>
    </row>
    <row r="24" spans="1:17" ht="32.1" customHeight="1" x14ac:dyDescent="0.2">
      <c r="A24" s="59">
        <v>19</v>
      </c>
      <c r="B24" s="60" t="s">
        <v>286</v>
      </c>
      <c r="C24" s="60" t="s">
        <v>287</v>
      </c>
      <c r="D24" s="60" t="s">
        <v>288</v>
      </c>
      <c r="E24" s="60" t="s">
        <v>108</v>
      </c>
      <c r="F24" s="61" t="s">
        <v>177</v>
      </c>
      <c r="G24" s="62"/>
      <c r="H24" s="62"/>
      <c r="I24" s="62">
        <v>46273</v>
      </c>
      <c r="J24" s="60" t="s">
        <v>200</v>
      </c>
      <c r="K24" s="60" t="s">
        <v>201</v>
      </c>
      <c r="L24" s="63">
        <v>100</v>
      </c>
      <c r="M24" s="61" t="s">
        <v>289</v>
      </c>
      <c r="N24" s="60"/>
      <c r="O24" s="60"/>
      <c r="P24" s="60" t="str">
        <f ca="1">IF(H24="","",IF(I24&lt;&gt;"",MAX(0,I24-H24),IF(TODAY()&gt;H24,TODAY()-H24,0)))</f>
        <v/>
      </c>
      <c r="Q24" s="64" t="s">
        <v>290</v>
      </c>
    </row>
    <row r="25" spans="1:17" ht="32.1" customHeight="1" x14ac:dyDescent="0.2">
      <c r="A25" s="59">
        <v>20</v>
      </c>
      <c r="B25" s="60" t="s">
        <v>291</v>
      </c>
      <c r="C25" s="60" t="s">
        <v>292</v>
      </c>
      <c r="D25" s="60" t="s">
        <v>293</v>
      </c>
      <c r="E25" s="60" t="s">
        <v>294</v>
      </c>
      <c r="F25" s="61" t="s">
        <v>295</v>
      </c>
      <c r="G25" s="62">
        <v>46274</v>
      </c>
      <c r="H25" s="62">
        <v>46280</v>
      </c>
      <c r="I25" s="62"/>
      <c r="J25" s="60" t="s">
        <v>296</v>
      </c>
      <c r="K25" s="60" t="s">
        <v>297</v>
      </c>
      <c r="L25" s="63">
        <v>20</v>
      </c>
      <c r="M25" s="61" t="s">
        <v>298</v>
      </c>
      <c r="N25" s="60" t="s">
        <v>100</v>
      </c>
      <c r="O25" s="60"/>
      <c r="P25" s="60">
        <f ca="1">IF(H25="","",IF(I25&lt;&gt;"",MAX(0,I25-H25),IF(TODAY()&gt;H25,TODAY()-H25,0)))</f>
        <v>0</v>
      </c>
      <c r="Q25" s="64" t="s">
        <v>299</v>
      </c>
    </row>
    <row r="26" spans="1:17" ht="32.1" customHeight="1" x14ac:dyDescent="0.2">
      <c r="A26" s="59">
        <v>21</v>
      </c>
      <c r="B26" s="60" t="s">
        <v>300</v>
      </c>
      <c r="C26" s="60" t="s">
        <v>301</v>
      </c>
      <c r="D26" s="60" t="s">
        <v>302</v>
      </c>
      <c r="E26" s="60" t="s">
        <v>294</v>
      </c>
      <c r="F26" s="61" t="s">
        <v>295</v>
      </c>
      <c r="G26" s="62">
        <v>46274</v>
      </c>
      <c r="H26" s="62">
        <v>46287</v>
      </c>
      <c r="I26" s="62"/>
      <c r="J26" s="60" t="s">
        <v>303</v>
      </c>
      <c r="K26" s="60" t="s">
        <v>304</v>
      </c>
      <c r="L26" s="63">
        <v>0</v>
      </c>
      <c r="M26" s="61" t="s">
        <v>305</v>
      </c>
      <c r="N26" s="60" t="s">
        <v>306</v>
      </c>
      <c r="O26" s="60"/>
      <c r="P26" s="60">
        <f ca="1">IF(H26="","",IF(I26&lt;&gt;"",MAX(0,I26-H26),IF(TODAY()&gt;H26,TODAY()-H26,0)))</f>
        <v>0</v>
      </c>
      <c r="Q26" s="64" t="s">
        <v>307</v>
      </c>
    </row>
    <row r="27" spans="1:17" ht="32.1" customHeight="1" x14ac:dyDescent="0.2">
      <c r="A27" s="59">
        <v>22</v>
      </c>
      <c r="B27" s="60" t="s">
        <v>308</v>
      </c>
      <c r="C27" s="60" t="s">
        <v>309</v>
      </c>
      <c r="D27" s="60" t="s">
        <v>310</v>
      </c>
      <c r="E27" s="60" t="s">
        <v>294</v>
      </c>
      <c r="F27" s="61" t="s">
        <v>295</v>
      </c>
      <c r="G27" s="62">
        <v>46281</v>
      </c>
      <c r="H27" s="62">
        <v>46295</v>
      </c>
      <c r="I27" s="62"/>
      <c r="J27" s="60" t="s">
        <v>303</v>
      </c>
      <c r="K27" s="60" t="s">
        <v>304</v>
      </c>
      <c r="L27" s="63">
        <v>0</v>
      </c>
      <c r="M27" s="61" t="s">
        <v>311</v>
      </c>
      <c r="N27" s="60" t="s">
        <v>306</v>
      </c>
      <c r="O27" s="60"/>
      <c r="P27" s="60">
        <f ca="1">IF(H27="","",IF(I27&lt;&gt;"",MAX(0,I27-H27),IF(TODAY()&gt;H27,TODAY()-H27,0)))</f>
        <v>0</v>
      </c>
      <c r="Q27" s="64" t="s">
        <v>312</v>
      </c>
    </row>
    <row r="28" spans="1:17" ht="32.1" customHeight="1" x14ac:dyDescent="0.2">
      <c r="A28" s="59">
        <v>23</v>
      </c>
      <c r="B28" s="60" t="s">
        <v>313</v>
      </c>
      <c r="C28" s="60" t="s">
        <v>314</v>
      </c>
      <c r="D28" s="60" t="s">
        <v>315</v>
      </c>
      <c r="E28" s="60" t="s">
        <v>294</v>
      </c>
      <c r="F28" s="61" t="s">
        <v>295</v>
      </c>
      <c r="G28" s="62">
        <v>46288</v>
      </c>
      <c r="H28" s="62">
        <v>46301</v>
      </c>
      <c r="I28" s="62"/>
      <c r="J28" s="60" t="s">
        <v>296</v>
      </c>
      <c r="K28" s="60" t="s">
        <v>304</v>
      </c>
      <c r="L28" s="63">
        <v>0</v>
      </c>
      <c r="M28" s="61" t="s">
        <v>311</v>
      </c>
      <c r="N28" s="60" t="s">
        <v>306</v>
      </c>
      <c r="O28" s="60"/>
      <c r="P28" s="60">
        <f ca="1">IF(H28="","",IF(I28&lt;&gt;"",MAX(0,I28-H28),IF(TODAY()&gt;H28,TODAY()-H28,0)))</f>
        <v>0</v>
      </c>
      <c r="Q28" s="64" t="s">
        <v>316</v>
      </c>
    </row>
    <row r="29" spans="1:17" ht="32.1" customHeight="1" x14ac:dyDescent="0.2">
      <c r="A29" s="59">
        <v>24</v>
      </c>
      <c r="B29" s="60" t="s">
        <v>317</v>
      </c>
      <c r="C29" s="60" t="s">
        <v>318</v>
      </c>
      <c r="D29" s="60" t="s">
        <v>319</v>
      </c>
      <c r="E29" s="60" t="s">
        <v>294</v>
      </c>
      <c r="F29" s="61" t="s">
        <v>295</v>
      </c>
      <c r="G29" s="62">
        <v>46296</v>
      </c>
      <c r="H29" s="62">
        <v>46308</v>
      </c>
      <c r="I29" s="62"/>
      <c r="J29" s="60" t="s">
        <v>296</v>
      </c>
      <c r="K29" s="60" t="s">
        <v>304</v>
      </c>
      <c r="L29" s="63">
        <v>0</v>
      </c>
      <c r="M29" s="61" t="s">
        <v>320</v>
      </c>
      <c r="N29" s="60" t="s">
        <v>306</v>
      </c>
      <c r="O29" s="60"/>
      <c r="P29" s="60">
        <f ca="1">IF(H29="","",IF(I29&lt;&gt;"",MAX(0,I29-H29),IF(TODAY()&gt;H29,TODAY()-H29,0)))</f>
        <v>0</v>
      </c>
      <c r="Q29" s="64" t="s">
        <v>321</v>
      </c>
    </row>
    <row r="30" spans="1:17" ht="32.1" customHeight="1" x14ac:dyDescent="0.2">
      <c r="A30" s="59">
        <v>25</v>
      </c>
      <c r="B30" s="60" t="s">
        <v>322</v>
      </c>
      <c r="C30" s="60" t="s">
        <v>323</v>
      </c>
      <c r="D30" s="60" t="s">
        <v>324</v>
      </c>
      <c r="E30" s="60" t="s">
        <v>294</v>
      </c>
      <c r="F30" s="61" t="s">
        <v>295</v>
      </c>
      <c r="G30" s="62">
        <v>46302</v>
      </c>
      <c r="H30" s="62">
        <v>46315</v>
      </c>
      <c r="I30" s="62"/>
      <c r="J30" s="60" t="s">
        <v>303</v>
      </c>
      <c r="K30" s="60" t="s">
        <v>304</v>
      </c>
      <c r="L30" s="63">
        <v>0</v>
      </c>
      <c r="M30" s="61" t="s">
        <v>325</v>
      </c>
      <c r="N30" s="60" t="s">
        <v>306</v>
      </c>
      <c r="O30" s="60"/>
      <c r="P30" s="60">
        <f ca="1">IF(H30="","",IF(I30&lt;&gt;"",MAX(0,I30-H30),IF(TODAY()&gt;H30,TODAY()-H30,0)))</f>
        <v>0</v>
      </c>
      <c r="Q30" s="64" t="s">
        <v>326</v>
      </c>
    </row>
    <row r="31" spans="1:17" ht="32.1" customHeight="1" x14ac:dyDescent="0.2">
      <c r="A31" s="59">
        <v>26</v>
      </c>
      <c r="B31" s="60" t="s">
        <v>327</v>
      </c>
      <c r="C31" s="60" t="s">
        <v>328</v>
      </c>
      <c r="D31" s="60" t="s">
        <v>329</v>
      </c>
      <c r="E31" s="60" t="s">
        <v>294</v>
      </c>
      <c r="F31" s="61" t="s">
        <v>295</v>
      </c>
      <c r="G31" s="62">
        <v>46309</v>
      </c>
      <c r="H31" s="62">
        <v>46322</v>
      </c>
      <c r="I31" s="62"/>
      <c r="J31" s="60" t="s">
        <v>296</v>
      </c>
      <c r="K31" s="60" t="s">
        <v>304</v>
      </c>
      <c r="L31" s="63">
        <v>0</v>
      </c>
      <c r="M31" s="61" t="s">
        <v>330</v>
      </c>
      <c r="N31" s="60" t="s">
        <v>306</v>
      </c>
      <c r="O31" s="60"/>
      <c r="P31" s="60">
        <f ca="1">IF(H31="","",IF(I31&lt;&gt;"",MAX(0,I31-H31),IF(TODAY()&gt;H31,TODAY()-H31,0)))</f>
        <v>0</v>
      </c>
      <c r="Q31" s="64" t="s">
        <v>331</v>
      </c>
    </row>
    <row r="32" spans="1:17" ht="32.1" customHeight="1" x14ac:dyDescent="0.2">
      <c r="A32" s="59">
        <v>27</v>
      </c>
      <c r="B32" s="60" t="s">
        <v>332</v>
      </c>
      <c r="C32" s="60" t="s">
        <v>333</v>
      </c>
      <c r="D32" s="60" t="s">
        <v>334</v>
      </c>
      <c r="E32" s="60" t="s">
        <v>294</v>
      </c>
      <c r="F32" s="61" t="s">
        <v>295</v>
      </c>
      <c r="G32" s="62">
        <v>46316</v>
      </c>
      <c r="H32" s="62">
        <v>46329</v>
      </c>
      <c r="I32" s="62"/>
      <c r="J32" s="60" t="s">
        <v>296</v>
      </c>
      <c r="K32" s="60" t="s">
        <v>304</v>
      </c>
      <c r="L32" s="63">
        <v>0</v>
      </c>
      <c r="M32" s="61" t="s">
        <v>335</v>
      </c>
      <c r="N32" s="60" t="s">
        <v>306</v>
      </c>
      <c r="O32" s="60"/>
      <c r="P32" s="60">
        <f ca="1">IF(H32="","",IF(I32&lt;&gt;"",MAX(0,I32-H32),IF(TODAY()&gt;H32,TODAY()-H32,0)))</f>
        <v>0</v>
      </c>
      <c r="Q32" s="64" t="s">
        <v>336</v>
      </c>
    </row>
    <row r="33" spans="1:17" ht="32.1" customHeight="1" x14ac:dyDescent="0.2">
      <c r="A33" s="59">
        <v>28</v>
      </c>
      <c r="B33" s="60" t="s">
        <v>337</v>
      </c>
      <c r="C33" s="60" t="s">
        <v>338</v>
      </c>
      <c r="D33" s="60" t="s">
        <v>246</v>
      </c>
      <c r="E33" s="60" t="s">
        <v>294</v>
      </c>
      <c r="F33" s="61" t="s">
        <v>295</v>
      </c>
      <c r="G33" s="62">
        <v>46327</v>
      </c>
      <c r="H33" s="62">
        <v>46336</v>
      </c>
      <c r="I33" s="62"/>
      <c r="J33" s="60" t="s">
        <v>303</v>
      </c>
      <c r="K33" s="60" t="s">
        <v>304</v>
      </c>
      <c r="L33" s="63">
        <v>0</v>
      </c>
      <c r="M33" s="61" t="s">
        <v>339</v>
      </c>
      <c r="N33" s="60" t="s">
        <v>340</v>
      </c>
      <c r="O33" s="60"/>
      <c r="P33" s="60">
        <f ca="1">IF(H33="","",IF(I33&lt;&gt;"",MAX(0,I33-H33),IF(TODAY()&gt;H33,TODAY()-H33,0)))</f>
        <v>0</v>
      </c>
      <c r="Q33" s="64" t="s">
        <v>341</v>
      </c>
    </row>
    <row r="34" spans="1:17" ht="32.1" customHeight="1" x14ac:dyDescent="0.2">
      <c r="A34" s="59">
        <v>29</v>
      </c>
      <c r="B34" s="60" t="s">
        <v>342</v>
      </c>
      <c r="C34" s="60" t="s">
        <v>343</v>
      </c>
      <c r="D34" s="60" t="s">
        <v>344</v>
      </c>
      <c r="E34" s="60" t="s">
        <v>294</v>
      </c>
      <c r="F34" s="61" t="s">
        <v>295</v>
      </c>
      <c r="G34" s="62">
        <v>46331</v>
      </c>
      <c r="H34" s="62">
        <v>46343</v>
      </c>
      <c r="I34" s="62"/>
      <c r="J34" s="60" t="s">
        <v>78</v>
      </c>
      <c r="K34" s="60" t="s">
        <v>304</v>
      </c>
      <c r="L34" s="63">
        <v>0</v>
      </c>
      <c r="M34" s="61" t="s">
        <v>345</v>
      </c>
      <c r="N34" s="60" t="s">
        <v>340</v>
      </c>
      <c r="O34" s="60"/>
      <c r="P34" s="60">
        <f ca="1">IF(H34="","",IF(I34&lt;&gt;"",MAX(0,I34-H34),IF(TODAY()&gt;H34,TODAY()-H34,0)))</f>
        <v>0</v>
      </c>
      <c r="Q34" s="64" t="s">
        <v>346</v>
      </c>
    </row>
    <row r="35" spans="1:17" ht="32.1" customHeight="1" x14ac:dyDescent="0.2">
      <c r="A35" s="59">
        <v>30</v>
      </c>
      <c r="B35" s="60" t="s">
        <v>347</v>
      </c>
      <c r="C35" s="60" t="s">
        <v>348</v>
      </c>
      <c r="D35" s="60" t="s">
        <v>349</v>
      </c>
      <c r="E35" s="60" t="s">
        <v>294</v>
      </c>
      <c r="F35" s="61" t="s">
        <v>295</v>
      </c>
      <c r="G35" s="62">
        <v>46337</v>
      </c>
      <c r="H35" s="62">
        <v>46350</v>
      </c>
      <c r="I35" s="62"/>
      <c r="J35" s="60" t="s">
        <v>296</v>
      </c>
      <c r="K35" s="60" t="s">
        <v>304</v>
      </c>
      <c r="L35" s="63">
        <v>0</v>
      </c>
      <c r="M35" s="61" t="s">
        <v>350</v>
      </c>
      <c r="N35" s="60" t="s">
        <v>100</v>
      </c>
      <c r="O35" s="60"/>
      <c r="P35" s="60">
        <f ca="1">IF(H35="","",IF(I35&lt;&gt;"",MAX(0,I35-H35),IF(TODAY()&gt;H35,TODAY()-H35,0)))</f>
        <v>0</v>
      </c>
      <c r="Q35" s="64" t="s">
        <v>351</v>
      </c>
    </row>
    <row r="36" spans="1:17" ht="32.1" customHeight="1" x14ac:dyDescent="0.2">
      <c r="A36" s="59">
        <v>31</v>
      </c>
      <c r="B36" s="60" t="s">
        <v>352</v>
      </c>
      <c r="C36" s="60" t="s">
        <v>353</v>
      </c>
      <c r="D36" s="60" t="s">
        <v>354</v>
      </c>
      <c r="E36" s="60" t="s">
        <v>294</v>
      </c>
      <c r="F36" s="61" t="s">
        <v>295</v>
      </c>
      <c r="G36" s="62">
        <v>46344</v>
      </c>
      <c r="H36" s="62">
        <v>46353</v>
      </c>
      <c r="I36" s="62"/>
      <c r="J36" s="60" t="s">
        <v>296</v>
      </c>
      <c r="K36" s="60" t="s">
        <v>304</v>
      </c>
      <c r="L36" s="63">
        <v>0</v>
      </c>
      <c r="M36" s="61" t="s">
        <v>355</v>
      </c>
      <c r="N36" s="60" t="s">
        <v>100</v>
      </c>
      <c r="O36" s="60"/>
      <c r="P36" s="60">
        <f ca="1">IF(H36="","",IF(I36&lt;&gt;"",MAX(0,I36-H36),IF(TODAY()&gt;H36,TODAY()-H36,0)))</f>
        <v>0</v>
      </c>
      <c r="Q36" s="64" t="s">
        <v>356</v>
      </c>
    </row>
    <row r="37" spans="1:17" ht="32.1" customHeight="1" x14ac:dyDescent="0.2">
      <c r="A37" s="59">
        <v>32</v>
      </c>
      <c r="B37" s="60" t="s">
        <v>357</v>
      </c>
      <c r="C37" s="60" t="s">
        <v>358</v>
      </c>
      <c r="D37" s="60" t="s">
        <v>359</v>
      </c>
      <c r="E37" s="60" t="s">
        <v>294</v>
      </c>
      <c r="F37" s="61" t="s">
        <v>295</v>
      </c>
      <c r="G37" s="62">
        <v>46351</v>
      </c>
      <c r="H37" s="62">
        <v>46357</v>
      </c>
      <c r="I37" s="62"/>
      <c r="J37" s="60" t="s">
        <v>303</v>
      </c>
      <c r="K37" s="60" t="s">
        <v>304</v>
      </c>
      <c r="L37" s="63">
        <v>0</v>
      </c>
      <c r="M37" s="61" t="s">
        <v>360</v>
      </c>
      <c r="N37" s="60" t="s">
        <v>100</v>
      </c>
      <c r="O37" s="60"/>
      <c r="P37" s="60">
        <f ca="1">IF(H37="","",IF(I37&lt;&gt;"",MAX(0,I37-H37),IF(TODAY()&gt;H37,TODAY()-H37,0)))</f>
        <v>0</v>
      </c>
      <c r="Q37" s="64" t="s">
        <v>361</v>
      </c>
    </row>
    <row r="38" spans="1:17" ht="37.5" x14ac:dyDescent="0.2">
      <c r="A38" s="59">
        <v>33</v>
      </c>
      <c r="B38" s="60" t="s">
        <v>362</v>
      </c>
      <c r="C38" s="60" t="s">
        <v>363</v>
      </c>
      <c r="D38" s="60" t="s">
        <v>364</v>
      </c>
      <c r="E38" s="60" t="s">
        <v>104</v>
      </c>
      <c r="F38" s="61" t="s">
        <v>175</v>
      </c>
      <c r="G38" s="62">
        <v>46275</v>
      </c>
      <c r="H38" s="62">
        <v>46278</v>
      </c>
      <c r="I38" s="62">
        <v>46278</v>
      </c>
      <c r="J38" s="60" t="s">
        <v>296</v>
      </c>
      <c r="K38" s="60" t="s">
        <v>201</v>
      </c>
      <c r="L38" s="63">
        <v>100</v>
      </c>
      <c r="M38" s="61" t="s">
        <v>365</v>
      </c>
      <c r="N38" s="60" t="s">
        <v>100</v>
      </c>
      <c r="O38" s="60"/>
      <c r="P38" s="91">
        <f ca="1">IF(H38="","",IF(I38&lt;&gt;"",MAX(0,I38-H38),IF(TODAY()&gt;H38,TODAY()-H38,0)))</f>
        <v>0</v>
      </c>
      <c r="Q38" s="64" t="s">
        <v>366</v>
      </c>
    </row>
    <row r="39" spans="1:17" ht="37.5" x14ac:dyDescent="0.2">
      <c r="A39" s="59">
        <v>34</v>
      </c>
      <c r="B39" s="60" t="s">
        <v>367</v>
      </c>
      <c r="C39" s="60" t="s">
        <v>368</v>
      </c>
      <c r="D39" s="60" t="s">
        <v>369</v>
      </c>
      <c r="E39" s="60" t="s">
        <v>118</v>
      </c>
      <c r="F39" s="61" t="s">
        <v>119</v>
      </c>
      <c r="G39" s="62">
        <v>46275</v>
      </c>
      <c r="H39" s="62">
        <v>46278</v>
      </c>
      <c r="I39" s="62">
        <v>46278</v>
      </c>
      <c r="J39" s="60" t="s">
        <v>296</v>
      </c>
      <c r="K39" s="60" t="s">
        <v>201</v>
      </c>
      <c r="L39" s="63">
        <v>100</v>
      </c>
      <c r="M39" s="61" t="s">
        <v>370</v>
      </c>
      <c r="N39" s="60" t="s">
        <v>100</v>
      </c>
      <c r="O39" s="60"/>
      <c r="P39" s="91">
        <f ca="1">IF(H39="","",IF(I39&lt;&gt;"",MAX(0,I39-H39),IF(TODAY()&gt;H39,TODAY()-H39,0)))</f>
        <v>0</v>
      </c>
      <c r="Q39" s="64" t="s">
        <v>371</v>
      </c>
    </row>
    <row r="40" spans="1:17" ht="55.5" x14ac:dyDescent="0.2">
      <c r="A40" s="59">
        <v>35</v>
      </c>
      <c r="B40" s="60" t="s">
        <v>372</v>
      </c>
      <c r="C40" s="60" t="s">
        <v>373</v>
      </c>
      <c r="D40" s="60" t="s">
        <v>374</v>
      </c>
      <c r="E40" s="60" t="s">
        <v>108</v>
      </c>
      <c r="F40" s="61" t="s">
        <v>177</v>
      </c>
      <c r="G40" s="62">
        <v>46275</v>
      </c>
      <c r="H40" s="62">
        <v>46278</v>
      </c>
      <c r="I40" s="62">
        <v>46279</v>
      </c>
      <c r="J40" s="60" t="s">
        <v>296</v>
      </c>
      <c r="K40" s="60" t="s">
        <v>201</v>
      </c>
      <c r="L40" s="63">
        <v>100</v>
      </c>
      <c r="M40" s="61" t="s">
        <v>861</v>
      </c>
      <c r="N40" s="60" t="s">
        <v>100</v>
      </c>
      <c r="O40" s="60"/>
      <c r="P40" s="91">
        <f ca="1">IF(H40="","",IF(I40&lt;&gt;"",MAX(0,I40-H40),IF(TODAY()&gt;H40,TODAY()-H40,0)))</f>
        <v>1</v>
      </c>
      <c r="Q40" s="64" t="s">
        <v>862</v>
      </c>
    </row>
    <row r="41" spans="1:17" ht="64.5" x14ac:dyDescent="0.2">
      <c r="A41" s="59">
        <v>36</v>
      </c>
      <c r="B41" s="60" t="s">
        <v>375</v>
      </c>
      <c r="C41" s="60" t="s">
        <v>376</v>
      </c>
      <c r="D41" s="60" t="s">
        <v>377</v>
      </c>
      <c r="E41" s="60" t="s">
        <v>112</v>
      </c>
      <c r="F41" s="61" t="s">
        <v>113</v>
      </c>
      <c r="G41" s="62">
        <v>46275</v>
      </c>
      <c r="H41" s="62">
        <v>46278</v>
      </c>
      <c r="I41" s="62">
        <v>46279</v>
      </c>
      <c r="J41" s="60" t="s">
        <v>296</v>
      </c>
      <c r="K41" s="60" t="s">
        <v>201</v>
      </c>
      <c r="L41" s="63">
        <v>100</v>
      </c>
      <c r="M41" s="61" t="s">
        <v>863</v>
      </c>
      <c r="N41" s="60" t="s">
        <v>100</v>
      </c>
      <c r="O41" s="60"/>
      <c r="P41" s="91">
        <f ca="1">IF(H41="","",IF(I41&lt;&gt;"",MAX(0,I41-H41),IF(TODAY()&gt;H41,TODAY()-H41,0)))</f>
        <v>1</v>
      </c>
      <c r="Q41" s="64" t="s">
        <v>864</v>
      </c>
    </row>
    <row r="42" spans="1:17" ht="90.75" x14ac:dyDescent="0.2">
      <c r="A42" s="59">
        <v>37</v>
      </c>
      <c r="B42" s="60" t="s">
        <v>378</v>
      </c>
      <c r="C42" s="60" t="s">
        <v>379</v>
      </c>
      <c r="D42" s="60" t="s">
        <v>380</v>
      </c>
      <c r="E42" s="60" t="s">
        <v>116</v>
      </c>
      <c r="F42" s="61" t="s">
        <v>117</v>
      </c>
      <c r="G42" s="62">
        <v>46275</v>
      </c>
      <c r="H42" s="62">
        <v>46278</v>
      </c>
      <c r="I42" s="62">
        <v>46278</v>
      </c>
      <c r="J42" s="60" t="s">
        <v>296</v>
      </c>
      <c r="K42" s="60" t="s">
        <v>201</v>
      </c>
      <c r="L42" s="63">
        <v>100</v>
      </c>
      <c r="M42" s="61" t="s">
        <v>381</v>
      </c>
      <c r="N42" s="60" t="s">
        <v>100</v>
      </c>
      <c r="O42" s="60"/>
      <c r="P42" s="91">
        <f ca="1">IF(H42="","",IF(I42&lt;&gt;"",MAX(0,I42-H42),IF(TODAY()&gt;H42,TODAY()-H42,0)))</f>
        <v>0</v>
      </c>
      <c r="Q42" s="64" t="s">
        <v>382</v>
      </c>
    </row>
    <row r="43" spans="1:17" ht="21" x14ac:dyDescent="0.2">
      <c r="A43" s="59">
        <v>38</v>
      </c>
      <c r="B43" s="60" t="s">
        <v>865</v>
      </c>
      <c r="C43" s="60" t="s">
        <v>866</v>
      </c>
      <c r="D43" s="60" t="s">
        <v>867</v>
      </c>
      <c r="E43" s="60" t="s">
        <v>104</v>
      </c>
      <c r="F43" s="61" t="s">
        <v>175</v>
      </c>
      <c r="G43" s="107">
        <v>46279</v>
      </c>
      <c r="H43" s="107">
        <v>46285</v>
      </c>
      <c r="I43" s="107"/>
      <c r="J43" s="60" t="s">
        <v>296</v>
      </c>
      <c r="K43" s="60" t="s">
        <v>304</v>
      </c>
      <c r="L43" s="63">
        <v>0</v>
      </c>
      <c r="M43" s="61" t="s">
        <v>868</v>
      </c>
      <c r="N43" s="60" t="s">
        <v>100</v>
      </c>
      <c r="O43" s="60"/>
      <c r="P43" s="60">
        <f ca="1">IF(H43="","",IF(I43&lt;&gt;"",MAX(0,I43-H43),IF(TODAY()&gt;H43,TODAY()-H43,0)))</f>
        <v>0</v>
      </c>
      <c r="Q43" s="64" t="s">
        <v>869</v>
      </c>
    </row>
    <row r="44" spans="1:17" ht="21" x14ac:dyDescent="0.2">
      <c r="A44" s="59">
        <v>39</v>
      </c>
      <c r="B44" s="60" t="s">
        <v>870</v>
      </c>
      <c r="C44" s="60" t="s">
        <v>871</v>
      </c>
      <c r="D44" s="60" t="s">
        <v>369</v>
      </c>
      <c r="E44" s="60" t="s">
        <v>118</v>
      </c>
      <c r="F44" s="61" t="s">
        <v>119</v>
      </c>
      <c r="G44" s="107">
        <v>46279</v>
      </c>
      <c r="H44" s="107">
        <v>46285</v>
      </c>
      <c r="I44" s="107"/>
      <c r="J44" s="60" t="s">
        <v>296</v>
      </c>
      <c r="K44" s="60" t="s">
        <v>304</v>
      </c>
      <c r="L44" s="63">
        <v>0</v>
      </c>
      <c r="M44" s="61" t="s">
        <v>872</v>
      </c>
      <c r="N44" s="60" t="s">
        <v>100</v>
      </c>
      <c r="O44" s="60"/>
      <c r="P44" s="60">
        <f ca="1">IF(H44="","",IF(I44&lt;&gt;"",MAX(0,I44-H44),IF(TODAY()&gt;H44,TODAY()-H44,0)))</f>
        <v>0</v>
      </c>
      <c r="Q44" s="64" t="s">
        <v>869</v>
      </c>
    </row>
    <row r="45" spans="1:17" ht="21" x14ac:dyDescent="0.2">
      <c r="A45" s="59">
        <v>40</v>
      </c>
      <c r="B45" s="60" t="s">
        <v>873</v>
      </c>
      <c r="C45" s="60" t="s">
        <v>874</v>
      </c>
      <c r="D45" s="60" t="s">
        <v>374</v>
      </c>
      <c r="E45" s="60" t="s">
        <v>108</v>
      </c>
      <c r="F45" s="61" t="s">
        <v>177</v>
      </c>
      <c r="G45" s="107">
        <v>46279</v>
      </c>
      <c r="H45" s="107">
        <v>46285</v>
      </c>
      <c r="I45" s="107"/>
      <c r="J45" s="60" t="s">
        <v>296</v>
      </c>
      <c r="K45" s="60" t="s">
        <v>304</v>
      </c>
      <c r="L45" s="63">
        <v>0</v>
      </c>
      <c r="M45" s="61" t="s">
        <v>875</v>
      </c>
      <c r="N45" s="60" t="s">
        <v>100</v>
      </c>
      <c r="O45" s="60"/>
      <c r="P45" s="60">
        <f ca="1">IF(H45="","",IF(I45&lt;&gt;"",MAX(0,I45-H45),IF(TODAY()&gt;H45,TODAY()-H45,0)))</f>
        <v>0</v>
      </c>
      <c r="Q45" s="64" t="s">
        <v>869</v>
      </c>
    </row>
    <row r="46" spans="1:17" ht="21" x14ac:dyDescent="0.2">
      <c r="A46" s="59">
        <v>41</v>
      </c>
      <c r="B46" s="60" t="s">
        <v>876</v>
      </c>
      <c r="C46" s="60" t="s">
        <v>877</v>
      </c>
      <c r="D46" s="60" t="s">
        <v>377</v>
      </c>
      <c r="E46" s="60" t="s">
        <v>112</v>
      </c>
      <c r="F46" s="61" t="s">
        <v>113</v>
      </c>
      <c r="G46" s="107">
        <v>46279</v>
      </c>
      <c r="H46" s="107">
        <v>46285</v>
      </c>
      <c r="I46" s="107"/>
      <c r="J46" s="60" t="s">
        <v>296</v>
      </c>
      <c r="K46" s="60" t="s">
        <v>304</v>
      </c>
      <c r="L46" s="63">
        <v>0</v>
      </c>
      <c r="M46" s="61" t="s">
        <v>878</v>
      </c>
      <c r="N46" s="60" t="s">
        <v>100</v>
      </c>
      <c r="O46" s="60"/>
      <c r="P46" s="60">
        <f ca="1">IF(H46="","",IF(I46&lt;&gt;"",MAX(0,I46-H46),IF(TODAY()&gt;H46,TODAY()-H46,0)))</f>
        <v>0</v>
      </c>
      <c r="Q46" s="64" t="s">
        <v>869</v>
      </c>
    </row>
    <row r="47" spans="1:17" ht="21" x14ac:dyDescent="0.2">
      <c r="A47" s="59">
        <v>42</v>
      </c>
      <c r="B47" s="60" t="s">
        <v>879</v>
      </c>
      <c r="C47" s="60" t="s">
        <v>880</v>
      </c>
      <c r="D47" s="60" t="s">
        <v>380</v>
      </c>
      <c r="E47" s="60" t="s">
        <v>116</v>
      </c>
      <c r="F47" s="61" t="s">
        <v>117</v>
      </c>
      <c r="G47" s="107">
        <v>46279</v>
      </c>
      <c r="H47" s="107">
        <v>46285</v>
      </c>
      <c r="I47" s="107"/>
      <c r="J47" s="60" t="s">
        <v>296</v>
      </c>
      <c r="K47" s="60" t="s">
        <v>304</v>
      </c>
      <c r="L47" s="63">
        <v>0</v>
      </c>
      <c r="M47" s="61" t="s">
        <v>881</v>
      </c>
      <c r="N47" s="60" t="s">
        <v>100</v>
      </c>
      <c r="O47" s="60"/>
      <c r="P47" s="60">
        <f ca="1">IF(H47="","",IF(I47&lt;&gt;"",MAX(0,I47-H47),IF(TODAY()&gt;H47,TODAY()-H47,0)))</f>
        <v>0</v>
      </c>
      <c r="Q47" s="64" t="s">
        <v>869</v>
      </c>
    </row>
    <row r="48" spans="1:17" ht="21" x14ac:dyDescent="0.2">
      <c r="A48" s="59">
        <v>43</v>
      </c>
      <c r="B48" s="60" t="s">
        <v>882</v>
      </c>
      <c r="C48" s="60" t="s">
        <v>883</v>
      </c>
      <c r="D48" s="60" t="s">
        <v>884</v>
      </c>
      <c r="E48" s="60" t="s">
        <v>100</v>
      </c>
      <c r="F48" s="61" t="s">
        <v>173</v>
      </c>
      <c r="G48" s="107">
        <v>46279</v>
      </c>
      <c r="H48" s="107">
        <v>46285</v>
      </c>
      <c r="I48" s="107"/>
      <c r="J48" s="60" t="s">
        <v>303</v>
      </c>
      <c r="K48" s="60" t="s">
        <v>304</v>
      </c>
      <c r="L48" s="63">
        <v>0</v>
      </c>
      <c r="M48" s="61" t="s">
        <v>885</v>
      </c>
      <c r="N48" s="60" t="s">
        <v>68</v>
      </c>
      <c r="O48" s="60"/>
      <c r="P48" s="60">
        <f ca="1">IF(H48="","",IF(I48&lt;&gt;"",MAX(0,I48-H48),IF(TODAY()&gt;H48,TODAY()-H48,0)))</f>
        <v>0</v>
      </c>
      <c r="Q48" s="64" t="s">
        <v>886</v>
      </c>
    </row>
    <row r="49" spans="1:17" x14ac:dyDescent="0.2">
      <c r="A49" s="59">
        <v>44</v>
      </c>
      <c r="B49" s="60"/>
      <c r="C49" s="60"/>
      <c r="D49" s="60"/>
      <c r="E49" s="60"/>
      <c r="F49" s="61"/>
      <c r="G49" s="62"/>
      <c r="H49" s="62"/>
      <c r="I49" s="62"/>
      <c r="J49" s="60"/>
      <c r="K49" s="60"/>
      <c r="L49" s="63"/>
      <c r="M49" s="61"/>
      <c r="N49" s="60"/>
      <c r="O49" s="60"/>
      <c r="P49" s="60" t="str">
        <f ca="1">IF(H49="","",IF(I49&lt;&gt;"",MAX(0,I49-H49),IF(TODAY()&gt;H49,TODAY()-H49,0)))</f>
        <v/>
      </c>
      <c r="Q49" s="64"/>
    </row>
    <row r="50" spans="1:17" x14ac:dyDescent="0.2">
      <c r="A50" s="59">
        <v>45</v>
      </c>
      <c r="B50" s="60"/>
      <c r="C50" s="60"/>
      <c r="D50" s="60"/>
      <c r="E50" s="60"/>
      <c r="F50" s="61"/>
      <c r="G50" s="62"/>
      <c r="H50" s="62"/>
      <c r="I50" s="62"/>
      <c r="J50" s="60"/>
      <c r="K50" s="60"/>
      <c r="L50" s="63"/>
      <c r="M50" s="61"/>
      <c r="N50" s="60"/>
      <c r="O50" s="60"/>
      <c r="P50" s="60" t="str">
        <f ca="1">IF(H50="","",IF(I50&lt;&gt;"",MAX(0,I50-H50),IF(TODAY()&gt;H50,TODAY()-H50,0)))</f>
        <v/>
      </c>
      <c r="Q50" s="64"/>
    </row>
    <row r="51" spans="1:17" x14ac:dyDescent="0.2">
      <c r="A51" s="59">
        <v>46</v>
      </c>
      <c r="B51" s="60"/>
      <c r="C51" s="60"/>
      <c r="D51" s="60"/>
      <c r="E51" s="60"/>
      <c r="F51" s="61"/>
      <c r="G51" s="62"/>
      <c r="H51" s="62"/>
      <c r="I51" s="62"/>
      <c r="J51" s="60"/>
      <c r="K51" s="60"/>
      <c r="L51" s="63"/>
      <c r="M51" s="61"/>
      <c r="N51" s="60"/>
      <c r="O51" s="60"/>
      <c r="P51" s="60" t="str">
        <f ca="1">IF(H51="","",IF(I51&lt;&gt;"",MAX(0,I51-H51),IF(TODAY()&gt;H51,TODAY()-H51,0)))</f>
        <v/>
      </c>
      <c r="Q51" s="64"/>
    </row>
    <row r="52" spans="1:17" x14ac:dyDescent="0.2">
      <c r="A52" s="59">
        <v>47</v>
      </c>
      <c r="B52" s="60"/>
      <c r="C52" s="60"/>
      <c r="D52" s="60"/>
      <c r="E52" s="60"/>
      <c r="F52" s="61"/>
      <c r="G52" s="62"/>
      <c r="H52" s="62"/>
      <c r="I52" s="62"/>
      <c r="J52" s="60"/>
      <c r="K52" s="60"/>
      <c r="L52" s="63"/>
      <c r="M52" s="61"/>
      <c r="N52" s="60"/>
      <c r="O52" s="60"/>
      <c r="P52" s="60" t="str">
        <f ca="1">IF(H52="","",IF(I52&lt;&gt;"",MAX(0,I52-H52),IF(TODAY()&gt;H52,TODAY()-H52,0)))</f>
        <v/>
      </c>
      <c r="Q52" s="64"/>
    </row>
    <row r="53" spans="1:17" x14ac:dyDescent="0.2">
      <c r="A53" s="59">
        <v>48</v>
      </c>
      <c r="B53" s="60"/>
      <c r="C53" s="60"/>
      <c r="D53" s="60"/>
      <c r="E53" s="60"/>
      <c r="F53" s="61"/>
      <c r="G53" s="62"/>
      <c r="H53" s="62"/>
      <c r="I53" s="62"/>
      <c r="J53" s="60"/>
      <c r="K53" s="60"/>
      <c r="L53" s="63"/>
      <c r="M53" s="61"/>
      <c r="N53" s="60"/>
      <c r="O53" s="60"/>
      <c r="P53" s="60" t="str">
        <f ca="1">IF(H53="","",IF(I53&lt;&gt;"",MAX(0,I53-H53),IF(TODAY()&gt;H53,TODAY()-H53,0)))</f>
        <v/>
      </c>
      <c r="Q53" s="64"/>
    </row>
    <row r="54" spans="1:17" x14ac:dyDescent="0.2">
      <c r="A54" s="59">
        <v>49</v>
      </c>
      <c r="B54" s="60"/>
      <c r="C54" s="60"/>
      <c r="D54" s="60"/>
      <c r="E54" s="60"/>
      <c r="F54" s="61"/>
      <c r="G54" s="62"/>
      <c r="H54" s="62"/>
      <c r="I54" s="62"/>
      <c r="J54" s="60"/>
      <c r="K54" s="60"/>
      <c r="L54" s="63"/>
      <c r="M54" s="61"/>
      <c r="N54" s="60"/>
      <c r="O54" s="60"/>
      <c r="P54" s="60" t="str">
        <f ca="1">IF(H54="","",IF(I54&lt;&gt;"",MAX(0,I54-H54),IF(TODAY()&gt;H54,TODAY()-H54,0)))</f>
        <v/>
      </c>
      <c r="Q54" s="64"/>
    </row>
    <row r="55" spans="1:17" x14ac:dyDescent="0.2">
      <c r="A55" s="59">
        <v>50</v>
      </c>
      <c r="B55" s="60"/>
      <c r="C55" s="60"/>
      <c r="D55" s="60"/>
      <c r="E55" s="60"/>
      <c r="F55" s="61"/>
      <c r="G55" s="62"/>
      <c r="H55" s="62"/>
      <c r="I55" s="62"/>
      <c r="J55" s="60"/>
      <c r="K55" s="60"/>
      <c r="L55" s="63"/>
      <c r="M55" s="61"/>
      <c r="N55" s="60"/>
      <c r="O55" s="60"/>
      <c r="P55" s="60" t="str">
        <f ca="1">IF(H55="","",IF(I55&lt;&gt;"",MAX(0,I55-H55),IF(TODAY()&gt;H55,TODAY()-H55,0)))</f>
        <v/>
      </c>
      <c r="Q55" s="64"/>
    </row>
    <row r="56" spans="1:17" x14ac:dyDescent="0.2">
      <c r="A56" s="59">
        <v>51</v>
      </c>
      <c r="B56" s="60"/>
      <c r="C56" s="60"/>
      <c r="D56" s="60"/>
      <c r="E56" s="60"/>
      <c r="F56" s="61"/>
      <c r="G56" s="62"/>
      <c r="H56" s="62"/>
      <c r="I56" s="62"/>
      <c r="J56" s="60"/>
      <c r="K56" s="60"/>
      <c r="L56" s="63"/>
      <c r="M56" s="61"/>
      <c r="N56" s="60"/>
      <c r="O56" s="60"/>
      <c r="P56" s="60" t="str">
        <f ca="1">IF(H56="","",IF(I56&lt;&gt;"",MAX(0,I56-H56),IF(TODAY()&gt;H56,TODAY()-H56,0)))</f>
        <v/>
      </c>
      <c r="Q56" s="64"/>
    </row>
    <row r="57" spans="1:17" x14ac:dyDescent="0.2">
      <c r="A57" s="59">
        <v>52</v>
      </c>
      <c r="B57" s="60"/>
      <c r="C57" s="60"/>
      <c r="D57" s="60"/>
      <c r="E57" s="60"/>
      <c r="F57" s="61"/>
      <c r="G57" s="62"/>
      <c r="H57" s="62"/>
      <c r="I57" s="62"/>
      <c r="J57" s="60"/>
      <c r="K57" s="60"/>
      <c r="L57" s="63"/>
      <c r="M57" s="61"/>
      <c r="N57" s="60"/>
      <c r="O57" s="60"/>
      <c r="P57" s="60" t="str">
        <f ca="1">IF(H57="","",IF(I57&lt;&gt;"",MAX(0,I57-H57),IF(TODAY()&gt;H57,TODAY()-H57,0)))</f>
        <v/>
      </c>
      <c r="Q57" s="64"/>
    </row>
    <row r="58" spans="1:17" x14ac:dyDescent="0.2">
      <c r="A58" s="59">
        <v>53</v>
      </c>
      <c r="B58" s="60"/>
      <c r="C58" s="60"/>
      <c r="D58" s="60"/>
      <c r="E58" s="60"/>
      <c r="F58" s="61"/>
      <c r="G58" s="62"/>
      <c r="H58" s="62"/>
      <c r="I58" s="62"/>
      <c r="J58" s="60"/>
      <c r="K58" s="60"/>
      <c r="L58" s="63"/>
      <c r="M58" s="61"/>
      <c r="N58" s="60"/>
      <c r="O58" s="60"/>
      <c r="P58" s="60" t="str">
        <f ca="1">IF(H58="","",IF(I58&lt;&gt;"",MAX(0,I58-H58),IF(TODAY()&gt;H58,TODAY()-H58,0)))</f>
        <v/>
      </c>
      <c r="Q58" s="64"/>
    </row>
    <row r="59" spans="1:17" x14ac:dyDescent="0.2">
      <c r="A59" s="59">
        <v>54</v>
      </c>
      <c r="B59" s="60"/>
      <c r="C59" s="60"/>
      <c r="D59" s="60"/>
      <c r="E59" s="60"/>
      <c r="F59" s="61"/>
      <c r="G59" s="62"/>
      <c r="H59" s="62"/>
      <c r="I59" s="62"/>
      <c r="J59" s="60"/>
      <c r="K59" s="60"/>
      <c r="L59" s="63"/>
      <c r="M59" s="61"/>
      <c r="N59" s="60"/>
      <c r="O59" s="60"/>
      <c r="P59" s="60" t="str">
        <f ca="1">IF(H59="","",IF(I59&lt;&gt;"",MAX(0,I59-H59),IF(TODAY()&gt;H59,TODAY()-H59,0)))</f>
        <v/>
      </c>
      <c r="Q59" s="64"/>
    </row>
    <row r="60" spans="1:17" x14ac:dyDescent="0.2">
      <c r="A60" s="59">
        <v>55</v>
      </c>
      <c r="B60" s="60"/>
      <c r="C60" s="60"/>
      <c r="D60" s="60"/>
      <c r="E60" s="60"/>
      <c r="F60" s="61"/>
      <c r="G60" s="62"/>
      <c r="H60" s="62"/>
      <c r="I60" s="62"/>
      <c r="J60" s="60"/>
      <c r="K60" s="60"/>
      <c r="L60" s="63"/>
      <c r="M60" s="61"/>
      <c r="N60" s="60"/>
      <c r="O60" s="60"/>
      <c r="P60" s="60" t="str">
        <f ca="1">IF(H60="","",IF(I60&lt;&gt;"",MAX(0,I60-H60),IF(TODAY()&gt;H60,TODAY()-H60,0)))</f>
        <v/>
      </c>
      <c r="Q60" s="64"/>
    </row>
    <row r="61" spans="1:17" x14ac:dyDescent="0.2">
      <c r="A61" s="59">
        <v>56</v>
      </c>
      <c r="B61" s="60"/>
      <c r="C61" s="60"/>
      <c r="D61" s="60"/>
      <c r="E61" s="60"/>
      <c r="F61" s="61"/>
      <c r="G61" s="62"/>
      <c r="H61" s="62"/>
      <c r="I61" s="62"/>
      <c r="J61" s="60"/>
      <c r="K61" s="60"/>
      <c r="L61" s="63"/>
      <c r="M61" s="61"/>
      <c r="N61" s="60"/>
      <c r="O61" s="60"/>
      <c r="P61" s="60" t="str">
        <f ca="1">IF(H61="","",IF(I61&lt;&gt;"",MAX(0,I61-H61),IF(TODAY()&gt;H61,TODAY()-H61,0)))</f>
        <v/>
      </c>
      <c r="Q61" s="64"/>
    </row>
    <row r="62" spans="1:17" x14ac:dyDescent="0.2">
      <c r="A62" s="59">
        <v>57</v>
      </c>
      <c r="B62" s="60"/>
      <c r="C62" s="60"/>
      <c r="D62" s="60"/>
      <c r="E62" s="60"/>
      <c r="F62" s="61"/>
      <c r="G62" s="62"/>
      <c r="H62" s="62"/>
      <c r="I62" s="62"/>
      <c r="J62" s="60"/>
      <c r="K62" s="60"/>
      <c r="L62" s="63"/>
      <c r="M62" s="61"/>
      <c r="N62" s="60"/>
      <c r="O62" s="60"/>
      <c r="P62" s="60" t="str">
        <f ca="1">IF(H62="","",IF(I62&lt;&gt;"",MAX(0,I62-H62),IF(TODAY()&gt;H62,TODAY()-H62,0)))</f>
        <v/>
      </c>
      <c r="Q62" s="64"/>
    </row>
    <row r="63" spans="1:17" x14ac:dyDescent="0.2">
      <c r="A63" s="59">
        <v>58</v>
      </c>
      <c r="B63" s="60"/>
      <c r="C63" s="60"/>
      <c r="D63" s="60"/>
      <c r="E63" s="60"/>
      <c r="F63" s="61"/>
      <c r="G63" s="62"/>
      <c r="H63" s="62"/>
      <c r="I63" s="62"/>
      <c r="J63" s="60"/>
      <c r="K63" s="60"/>
      <c r="L63" s="63"/>
      <c r="M63" s="61"/>
      <c r="N63" s="60"/>
      <c r="O63" s="60"/>
      <c r="P63" s="60" t="str">
        <f ca="1">IF(H63="","",IF(I63&lt;&gt;"",MAX(0,I63-H63),IF(TODAY()&gt;H63,TODAY()-H63,0)))</f>
        <v/>
      </c>
      <c r="Q63" s="64"/>
    </row>
    <row r="64" spans="1:17" x14ac:dyDescent="0.2">
      <c r="A64" s="59">
        <v>59</v>
      </c>
      <c r="B64" s="60"/>
      <c r="C64" s="60"/>
      <c r="D64" s="60"/>
      <c r="E64" s="60"/>
      <c r="F64" s="61"/>
      <c r="G64" s="62"/>
      <c r="H64" s="62"/>
      <c r="I64" s="62"/>
      <c r="J64" s="60"/>
      <c r="K64" s="60"/>
      <c r="L64" s="63"/>
      <c r="M64" s="61"/>
      <c r="N64" s="60"/>
      <c r="O64" s="60"/>
      <c r="P64" s="60" t="str">
        <f ca="1">IF(H64="","",IF(I64&lt;&gt;"",MAX(0,I64-H64),IF(TODAY()&gt;H64,TODAY()-H64,0)))</f>
        <v/>
      </c>
      <c r="Q64" s="64"/>
    </row>
    <row r="65" spans="1:17" x14ac:dyDescent="0.2">
      <c r="A65" s="65">
        <v>60</v>
      </c>
      <c r="B65" s="66"/>
      <c r="C65" s="66"/>
      <c r="D65" s="66"/>
      <c r="E65" s="66"/>
      <c r="F65" s="67"/>
      <c r="G65" s="68"/>
      <c r="H65" s="68"/>
      <c r="I65" s="68"/>
      <c r="J65" s="66"/>
      <c r="K65" s="66"/>
      <c r="L65" s="69"/>
      <c r="M65" s="67"/>
      <c r="N65" s="66"/>
      <c r="O65" s="66"/>
      <c r="P65" s="66" t="str">
        <f ca="1">IF(H65="","",IF(I65&lt;&gt;"",MAX(0,I65-H65),IF(TODAY()&gt;H65,TODAY()-H65,0)))</f>
        <v/>
      </c>
      <c r="Q65" s="70"/>
    </row>
  </sheetData>
  <mergeCells count="3">
    <mergeCell ref="A1:Q1"/>
    <mergeCell ref="A2:Q2"/>
    <mergeCell ref="A3:Q3"/>
  </mergeCells>
  <conditionalFormatting sqref="H6:H65">
    <cfRule type="expression" dxfId="12" priority="5">
      <formula>AND(H6&lt;&gt;"",H6&gt;DATE(2026,12,1))</formula>
    </cfRule>
  </conditionalFormatting>
  <conditionalFormatting sqref="K6:K65">
    <cfRule type="expression" dxfId="11" priority="1">
      <formula>K6="បានបញ្ចប់"</formula>
    </cfRule>
    <cfRule type="expression" dxfId="10" priority="2">
      <formula>K6="កំពុងធ្វើ"</formula>
    </cfRule>
    <cfRule type="expression" dxfId="9" priority="3">
      <formula>K6="គ្រោង"</formula>
    </cfRule>
    <cfRule type="expression" dxfId="8" priority="4">
      <formula>K6="យឺតយ៉ាវ"</formula>
    </cfRule>
  </conditionalFormatting>
  <dataValidations count="4">
    <dataValidation type="list" sqref="K6:K65" xr:uid="{00000000-0002-0000-0200-000000000000}">
      <formula1>"បានបញ្ចប់,កំពុងធ្វើ,គ្រោង,យឺតយ៉ាវ,ផ្អាក"</formula1>
    </dataValidation>
    <dataValidation type="list" sqref="J6:J65" xr:uid="{00000000-0002-0000-0200-000001000000}">
      <formula1>"បន្ទាន់,ខ្ពស់,មធ្យម,ទាប,—"</formula1>
    </dataValidation>
    <dataValidation sqref="L6:L65 O6:O65" xr:uid="{00000000-0002-0000-0200-000002000000}">
      <formula1>0</formula1>
      <formula2>100</formula2>
    </dataValidation>
    <dataValidation type="list" sqref="K43:K48" xr:uid="{00000000-0002-0000-0200-000003000000}">
      <formula1>"គ្រោង,កំពុងធ្វើ,រង់ចាំ Review,បានបញ្ចប់,ជាប់គាំង,មិនទាន់មាន Evidence"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zoomScaleNormal="100" zoomScaleSheetLayoutView="100" workbookViewId="0"/>
  </sheetViews>
  <sheetFormatPr defaultRowHeight="15" x14ac:dyDescent="0.2"/>
  <cols>
    <col min="1" max="1" width="4.9765625" customWidth="1"/>
    <col min="2" max="2" width="13.046875" customWidth="1"/>
    <col min="3" max="3" width="9.01171875" customWidth="1"/>
    <col min="4" max="5" width="27.98046875" customWidth="1"/>
    <col min="6" max="6" width="18.0234375" customWidth="1"/>
    <col min="7" max="7" width="39.953125" customWidth="1"/>
    <col min="8" max="8" width="36.05078125" customWidth="1"/>
    <col min="9" max="9" width="20.04296875" customWidth="1"/>
    <col min="10" max="11" width="13.046875" customWidth="1"/>
    <col min="12" max="12" width="32.015625" customWidth="1"/>
    <col min="13" max="13" width="29.99609375" customWidth="1"/>
  </cols>
  <sheetData>
    <row r="1" spans="1:13" ht="27.95" customHeight="1" x14ac:dyDescent="0.2">
      <c r="A1" s="147" t="s">
        <v>383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x14ac:dyDescent="0.2">
      <c r="A2" s="148" t="s">
        <v>384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3" x14ac:dyDescent="0.2">
      <c r="A3" s="149" t="s">
        <v>385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5" spans="1:13" ht="33.950000000000003" customHeight="1" x14ac:dyDescent="0.2">
      <c r="A5" s="28" t="s">
        <v>16</v>
      </c>
      <c r="B5" s="29" t="s">
        <v>386</v>
      </c>
      <c r="C5" s="29" t="s">
        <v>387</v>
      </c>
      <c r="D5" s="29" t="s">
        <v>388</v>
      </c>
      <c r="E5" s="29" t="s">
        <v>389</v>
      </c>
      <c r="F5" s="29" t="s">
        <v>390</v>
      </c>
      <c r="G5" s="29" t="s">
        <v>391</v>
      </c>
      <c r="H5" s="29" t="s">
        <v>392</v>
      </c>
      <c r="I5" s="29" t="s">
        <v>186</v>
      </c>
      <c r="J5" s="29" t="s">
        <v>393</v>
      </c>
      <c r="K5" s="29" t="s">
        <v>191</v>
      </c>
      <c r="L5" s="29" t="s">
        <v>193</v>
      </c>
      <c r="M5" s="30" t="s">
        <v>20</v>
      </c>
    </row>
    <row r="6" spans="1:13" ht="30" customHeight="1" x14ac:dyDescent="0.2">
      <c r="A6" s="5">
        <v>1</v>
      </c>
      <c r="B6" s="6"/>
      <c r="C6" s="8"/>
      <c r="D6" s="8"/>
      <c r="E6" s="8"/>
      <c r="F6" s="8"/>
      <c r="G6" s="8"/>
      <c r="H6" s="8"/>
      <c r="I6" s="8"/>
      <c r="J6" s="6"/>
      <c r="K6" s="8"/>
      <c r="L6" s="8"/>
      <c r="M6" s="16"/>
    </row>
    <row r="7" spans="1:13" ht="30" customHeight="1" x14ac:dyDescent="0.2">
      <c r="A7" s="5">
        <v>2</v>
      </c>
      <c r="B7" s="6"/>
      <c r="C7" s="8"/>
      <c r="D7" s="8"/>
      <c r="E7" s="8"/>
      <c r="F7" s="8"/>
      <c r="G7" s="8"/>
      <c r="H7" s="8"/>
      <c r="I7" s="8"/>
      <c r="J7" s="6"/>
      <c r="K7" s="8"/>
      <c r="L7" s="8"/>
      <c r="M7" s="16"/>
    </row>
    <row r="8" spans="1:13" ht="30" customHeight="1" x14ac:dyDescent="0.2">
      <c r="A8" s="5">
        <v>3</v>
      </c>
      <c r="B8" s="6"/>
      <c r="C8" s="8"/>
      <c r="D8" s="8"/>
      <c r="E8" s="8"/>
      <c r="F8" s="8"/>
      <c r="G8" s="8"/>
      <c r="H8" s="8"/>
      <c r="I8" s="8"/>
      <c r="J8" s="6"/>
      <c r="K8" s="8"/>
      <c r="L8" s="8"/>
      <c r="M8" s="16"/>
    </row>
    <row r="9" spans="1:13" ht="30" customHeight="1" x14ac:dyDescent="0.2">
      <c r="A9" s="5">
        <v>4</v>
      </c>
      <c r="B9" s="6"/>
      <c r="C9" s="8"/>
      <c r="D9" s="8"/>
      <c r="E9" s="8"/>
      <c r="F9" s="8"/>
      <c r="G9" s="8"/>
      <c r="H9" s="8"/>
      <c r="I9" s="8"/>
      <c r="J9" s="6"/>
      <c r="K9" s="8"/>
      <c r="L9" s="8"/>
      <c r="M9" s="16"/>
    </row>
    <row r="10" spans="1:13" ht="30" customHeight="1" x14ac:dyDescent="0.2">
      <c r="A10" s="5">
        <v>5</v>
      </c>
      <c r="B10" s="6"/>
      <c r="C10" s="8"/>
      <c r="D10" s="8"/>
      <c r="E10" s="8"/>
      <c r="F10" s="8"/>
      <c r="G10" s="8"/>
      <c r="H10" s="8"/>
      <c r="I10" s="8"/>
      <c r="J10" s="6"/>
      <c r="K10" s="8"/>
      <c r="L10" s="8"/>
      <c r="M10" s="16"/>
    </row>
    <row r="11" spans="1:13" ht="30" customHeight="1" x14ac:dyDescent="0.2">
      <c r="A11" s="5">
        <v>6</v>
      </c>
      <c r="B11" s="6"/>
      <c r="C11" s="8"/>
      <c r="D11" s="8"/>
      <c r="E11" s="8"/>
      <c r="F11" s="8"/>
      <c r="G11" s="8"/>
      <c r="H11" s="8"/>
      <c r="I11" s="8"/>
      <c r="J11" s="6"/>
      <c r="K11" s="8"/>
      <c r="L11" s="8"/>
      <c r="M11" s="16"/>
    </row>
    <row r="12" spans="1:13" ht="30" customHeight="1" x14ac:dyDescent="0.2">
      <c r="A12" s="5">
        <v>7</v>
      </c>
      <c r="B12" s="6"/>
      <c r="C12" s="8"/>
      <c r="D12" s="8"/>
      <c r="E12" s="8"/>
      <c r="F12" s="8"/>
      <c r="G12" s="8"/>
      <c r="H12" s="8"/>
      <c r="I12" s="8"/>
      <c r="J12" s="6"/>
      <c r="K12" s="8"/>
      <c r="L12" s="8"/>
      <c r="M12" s="16"/>
    </row>
    <row r="13" spans="1:13" ht="30" customHeight="1" x14ac:dyDescent="0.2">
      <c r="A13" s="5">
        <v>8</v>
      </c>
      <c r="B13" s="6"/>
      <c r="C13" s="8"/>
      <c r="D13" s="8"/>
      <c r="E13" s="8"/>
      <c r="F13" s="8"/>
      <c r="G13" s="8"/>
      <c r="H13" s="8"/>
      <c r="I13" s="8"/>
      <c r="J13" s="6"/>
      <c r="K13" s="8"/>
      <c r="L13" s="8"/>
      <c r="M13" s="16"/>
    </row>
    <row r="14" spans="1:13" ht="30" customHeight="1" x14ac:dyDescent="0.2">
      <c r="A14" s="5">
        <v>9</v>
      </c>
      <c r="B14" s="6"/>
      <c r="C14" s="8"/>
      <c r="D14" s="8"/>
      <c r="E14" s="8"/>
      <c r="F14" s="8"/>
      <c r="G14" s="8"/>
      <c r="H14" s="8"/>
      <c r="I14" s="8"/>
      <c r="J14" s="6"/>
      <c r="K14" s="8"/>
      <c r="L14" s="8"/>
      <c r="M14" s="16"/>
    </row>
    <row r="15" spans="1:13" ht="30" customHeight="1" x14ac:dyDescent="0.2">
      <c r="A15" s="5">
        <v>10</v>
      </c>
      <c r="B15" s="6"/>
      <c r="C15" s="8"/>
      <c r="D15" s="8"/>
      <c r="E15" s="8"/>
      <c r="F15" s="8"/>
      <c r="G15" s="8"/>
      <c r="H15" s="8"/>
      <c r="I15" s="8"/>
      <c r="J15" s="6"/>
      <c r="K15" s="8"/>
      <c r="L15" s="8"/>
      <c r="M15" s="16"/>
    </row>
    <row r="16" spans="1:13" ht="30" customHeight="1" x14ac:dyDescent="0.2">
      <c r="A16" s="5">
        <v>11</v>
      </c>
      <c r="B16" s="6"/>
      <c r="C16" s="8"/>
      <c r="D16" s="8"/>
      <c r="E16" s="8"/>
      <c r="F16" s="8"/>
      <c r="G16" s="8"/>
      <c r="H16" s="8"/>
      <c r="I16" s="8"/>
      <c r="J16" s="6"/>
      <c r="K16" s="8"/>
      <c r="L16" s="8"/>
      <c r="M16" s="16"/>
    </row>
    <row r="17" spans="1:13" ht="30" customHeight="1" x14ac:dyDescent="0.2">
      <c r="A17" s="5">
        <v>12</v>
      </c>
      <c r="B17" s="6"/>
      <c r="C17" s="8"/>
      <c r="D17" s="8"/>
      <c r="E17" s="8"/>
      <c r="F17" s="8"/>
      <c r="G17" s="8"/>
      <c r="H17" s="8"/>
      <c r="I17" s="8"/>
      <c r="J17" s="6"/>
      <c r="K17" s="8"/>
      <c r="L17" s="8"/>
      <c r="M17" s="16"/>
    </row>
    <row r="18" spans="1:13" ht="30" customHeight="1" x14ac:dyDescent="0.2">
      <c r="A18" s="5">
        <v>13</v>
      </c>
      <c r="B18" s="6"/>
      <c r="C18" s="8"/>
      <c r="D18" s="8"/>
      <c r="E18" s="8"/>
      <c r="F18" s="8"/>
      <c r="G18" s="8"/>
      <c r="H18" s="8"/>
      <c r="I18" s="8"/>
      <c r="J18" s="6"/>
      <c r="K18" s="8"/>
      <c r="L18" s="8"/>
      <c r="M18" s="16"/>
    </row>
    <row r="19" spans="1:13" ht="30" customHeight="1" x14ac:dyDescent="0.2">
      <c r="A19" s="5">
        <v>14</v>
      </c>
      <c r="B19" s="6"/>
      <c r="C19" s="8"/>
      <c r="D19" s="8"/>
      <c r="E19" s="8"/>
      <c r="F19" s="8"/>
      <c r="G19" s="8"/>
      <c r="H19" s="8"/>
      <c r="I19" s="8"/>
      <c r="J19" s="6"/>
      <c r="K19" s="8"/>
      <c r="L19" s="8"/>
      <c r="M19" s="16"/>
    </row>
    <row r="20" spans="1:13" ht="30" customHeight="1" x14ac:dyDescent="0.2">
      <c r="A20" s="5">
        <v>15</v>
      </c>
      <c r="B20" s="6"/>
      <c r="C20" s="8"/>
      <c r="D20" s="8"/>
      <c r="E20" s="8"/>
      <c r="F20" s="8"/>
      <c r="G20" s="8"/>
      <c r="H20" s="8"/>
      <c r="I20" s="8"/>
      <c r="J20" s="6"/>
      <c r="K20" s="8"/>
      <c r="L20" s="8"/>
      <c r="M20" s="16"/>
    </row>
    <row r="21" spans="1:13" ht="30" customHeight="1" x14ac:dyDescent="0.2">
      <c r="A21" s="5">
        <v>16</v>
      </c>
      <c r="B21" s="6"/>
      <c r="C21" s="8"/>
      <c r="D21" s="8"/>
      <c r="E21" s="8"/>
      <c r="F21" s="8"/>
      <c r="G21" s="8"/>
      <c r="H21" s="8"/>
      <c r="I21" s="8"/>
      <c r="J21" s="6"/>
      <c r="K21" s="8"/>
      <c r="L21" s="8"/>
      <c r="M21" s="16"/>
    </row>
    <row r="22" spans="1:13" ht="30" customHeight="1" x14ac:dyDescent="0.2">
      <c r="A22" s="5">
        <v>17</v>
      </c>
      <c r="B22" s="6"/>
      <c r="C22" s="8"/>
      <c r="D22" s="8"/>
      <c r="E22" s="8"/>
      <c r="F22" s="8"/>
      <c r="G22" s="8"/>
      <c r="H22" s="8"/>
      <c r="I22" s="8"/>
      <c r="J22" s="6"/>
      <c r="K22" s="8"/>
      <c r="L22" s="8"/>
      <c r="M22" s="16"/>
    </row>
    <row r="23" spans="1:13" ht="30" customHeight="1" x14ac:dyDescent="0.2">
      <c r="A23" s="5">
        <v>18</v>
      </c>
      <c r="B23" s="6"/>
      <c r="C23" s="8"/>
      <c r="D23" s="8"/>
      <c r="E23" s="8"/>
      <c r="F23" s="8"/>
      <c r="G23" s="8"/>
      <c r="H23" s="8"/>
      <c r="I23" s="8"/>
      <c r="J23" s="6"/>
      <c r="K23" s="8"/>
      <c r="L23" s="8"/>
      <c r="M23" s="16"/>
    </row>
    <row r="24" spans="1:13" ht="30" customHeight="1" x14ac:dyDescent="0.2">
      <c r="A24" s="5">
        <v>19</v>
      </c>
      <c r="B24" s="6"/>
      <c r="C24" s="8"/>
      <c r="D24" s="8"/>
      <c r="E24" s="8"/>
      <c r="F24" s="8"/>
      <c r="G24" s="8"/>
      <c r="H24" s="8"/>
      <c r="I24" s="8"/>
      <c r="J24" s="6"/>
      <c r="K24" s="8"/>
      <c r="L24" s="8"/>
      <c r="M24" s="16"/>
    </row>
    <row r="25" spans="1:13" ht="30" customHeight="1" x14ac:dyDescent="0.2">
      <c r="A25" s="5">
        <v>20</v>
      </c>
      <c r="B25" s="6"/>
      <c r="C25" s="8"/>
      <c r="D25" s="8"/>
      <c r="E25" s="8"/>
      <c r="F25" s="8"/>
      <c r="G25" s="8"/>
      <c r="H25" s="8"/>
      <c r="I25" s="8"/>
      <c r="J25" s="6"/>
      <c r="K25" s="8"/>
      <c r="L25" s="8"/>
      <c r="M25" s="16"/>
    </row>
    <row r="26" spans="1:13" ht="30" customHeight="1" x14ac:dyDescent="0.2">
      <c r="A26" s="5">
        <v>21</v>
      </c>
      <c r="B26" s="6"/>
      <c r="C26" s="8"/>
      <c r="D26" s="8"/>
      <c r="E26" s="8"/>
      <c r="F26" s="8"/>
      <c r="G26" s="8"/>
      <c r="H26" s="8"/>
      <c r="I26" s="8"/>
      <c r="J26" s="6"/>
      <c r="K26" s="8"/>
      <c r="L26" s="8"/>
      <c r="M26" s="16"/>
    </row>
    <row r="27" spans="1:13" ht="30" customHeight="1" x14ac:dyDescent="0.2">
      <c r="A27" s="5">
        <v>22</v>
      </c>
      <c r="B27" s="6"/>
      <c r="C27" s="8"/>
      <c r="D27" s="8"/>
      <c r="E27" s="8"/>
      <c r="F27" s="8"/>
      <c r="G27" s="8"/>
      <c r="H27" s="8"/>
      <c r="I27" s="8"/>
      <c r="J27" s="6"/>
      <c r="K27" s="8"/>
      <c r="L27" s="8"/>
      <c r="M27" s="16"/>
    </row>
    <row r="28" spans="1:13" ht="30" customHeight="1" x14ac:dyDescent="0.2">
      <c r="A28" s="5">
        <v>23</v>
      </c>
      <c r="B28" s="6"/>
      <c r="C28" s="8"/>
      <c r="D28" s="8"/>
      <c r="E28" s="8"/>
      <c r="F28" s="8"/>
      <c r="G28" s="8"/>
      <c r="H28" s="8"/>
      <c r="I28" s="8"/>
      <c r="J28" s="6"/>
      <c r="K28" s="8"/>
      <c r="L28" s="8"/>
      <c r="M28" s="16"/>
    </row>
    <row r="29" spans="1:13" ht="30" customHeight="1" x14ac:dyDescent="0.2">
      <c r="A29" s="5">
        <v>24</v>
      </c>
      <c r="B29" s="6"/>
      <c r="C29" s="8"/>
      <c r="D29" s="8"/>
      <c r="E29" s="8"/>
      <c r="F29" s="8"/>
      <c r="G29" s="8"/>
      <c r="H29" s="8"/>
      <c r="I29" s="8"/>
      <c r="J29" s="6"/>
      <c r="K29" s="8"/>
      <c r="L29" s="8"/>
      <c r="M29" s="16"/>
    </row>
    <row r="30" spans="1:13" ht="30" customHeight="1" x14ac:dyDescent="0.2">
      <c r="A30" s="5">
        <v>25</v>
      </c>
      <c r="B30" s="6"/>
      <c r="C30" s="8"/>
      <c r="D30" s="8"/>
      <c r="E30" s="8"/>
      <c r="F30" s="8"/>
      <c r="G30" s="8"/>
      <c r="H30" s="8"/>
      <c r="I30" s="8"/>
      <c r="J30" s="6"/>
      <c r="K30" s="8"/>
      <c r="L30" s="8"/>
      <c r="M30" s="16"/>
    </row>
    <row r="31" spans="1:13" ht="30" customHeight="1" x14ac:dyDescent="0.2">
      <c r="A31" s="5">
        <v>26</v>
      </c>
      <c r="B31" s="6"/>
      <c r="C31" s="8"/>
      <c r="D31" s="8"/>
      <c r="E31" s="8"/>
      <c r="F31" s="8"/>
      <c r="G31" s="8"/>
      <c r="H31" s="8"/>
      <c r="I31" s="8"/>
      <c r="J31" s="6"/>
      <c r="K31" s="8"/>
      <c r="L31" s="8"/>
      <c r="M31" s="16"/>
    </row>
    <row r="32" spans="1:13" ht="30" customHeight="1" x14ac:dyDescent="0.2">
      <c r="A32" s="5">
        <v>27</v>
      </c>
      <c r="B32" s="6"/>
      <c r="C32" s="8"/>
      <c r="D32" s="8"/>
      <c r="E32" s="8"/>
      <c r="F32" s="8"/>
      <c r="G32" s="8"/>
      <c r="H32" s="8"/>
      <c r="I32" s="8"/>
      <c r="J32" s="6"/>
      <c r="K32" s="8"/>
      <c r="L32" s="8"/>
      <c r="M32" s="16"/>
    </row>
    <row r="33" spans="1:13" ht="30" customHeight="1" x14ac:dyDescent="0.2">
      <c r="A33" s="5">
        <v>28</v>
      </c>
      <c r="B33" s="6"/>
      <c r="C33" s="8"/>
      <c r="D33" s="8"/>
      <c r="E33" s="8"/>
      <c r="F33" s="8"/>
      <c r="G33" s="8"/>
      <c r="H33" s="8"/>
      <c r="I33" s="8"/>
      <c r="J33" s="6"/>
      <c r="K33" s="8"/>
      <c r="L33" s="8"/>
      <c r="M33" s="16"/>
    </row>
    <row r="34" spans="1:13" ht="30" customHeight="1" x14ac:dyDescent="0.2">
      <c r="A34" s="5">
        <v>29</v>
      </c>
      <c r="B34" s="6"/>
      <c r="C34" s="8"/>
      <c r="D34" s="8"/>
      <c r="E34" s="8"/>
      <c r="F34" s="8"/>
      <c r="G34" s="8"/>
      <c r="H34" s="8"/>
      <c r="I34" s="8"/>
      <c r="J34" s="6"/>
      <c r="K34" s="8"/>
      <c r="L34" s="8"/>
      <c r="M34" s="16"/>
    </row>
    <row r="35" spans="1:13" ht="30" customHeight="1" x14ac:dyDescent="0.2">
      <c r="A35" s="9">
        <v>30</v>
      </c>
      <c r="B35" s="71"/>
      <c r="C35" s="10"/>
      <c r="D35" s="10"/>
      <c r="E35" s="10"/>
      <c r="F35" s="10"/>
      <c r="G35" s="10"/>
      <c r="H35" s="10"/>
      <c r="I35" s="10"/>
      <c r="J35" s="71"/>
      <c r="K35" s="10"/>
      <c r="L35" s="10"/>
      <c r="M35" s="18"/>
    </row>
  </sheetData>
  <mergeCells count="3">
    <mergeCell ref="A1:M1"/>
    <mergeCell ref="A2:M2"/>
    <mergeCell ref="A3:M3"/>
  </mergeCells>
  <dataValidations count="1">
    <dataValidation type="list" sqref="K6:K35" xr:uid="{00000000-0002-0000-0300-000000000000}">
      <formula1>"បានបញ្ចប់,កំពុងធ្វើ,គ្រោង,យឺតយ៉ាវ,ផ្អាក"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13.046875" customWidth="1"/>
    <col min="3" max="3" width="16.0078125" customWidth="1"/>
    <col min="4" max="4" width="27.98046875" customWidth="1"/>
    <col min="5" max="5" width="52.05859375" customWidth="1"/>
    <col min="6" max="6" width="22.05859375" customWidth="1"/>
    <col min="7" max="7" width="16.0078125" customWidth="1"/>
    <col min="8" max="8" width="52.05859375" customWidth="1"/>
  </cols>
  <sheetData>
    <row r="1" spans="1:8" ht="30" customHeight="1" x14ac:dyDescent="0.2">
      <c r="A1" s="147" t="s">
        <v>394</v>
      </c>
      <c r="B1" s="147"/>
      <c r="C1" s="147"/>
      <c r="D1" s="147"/>
      <c r="E1" s="147"/>
      <c r="F1" s="147"/>
      <c r="G1" s="147"/>
      <c r="H1" s="147"/>
    </row>
    <row r="2" spans="1:8" ht="32.1" customHeight="1" x14ac:dyDescent="0.2">
      <c r="A2" s="154" t="s">
        <v>395</v>
      </c>
      <c r="B2" s="154"/>
      <c r="C2" s="154"/>
      <c r="D2" s="154"/>
      <c r="E2" s="154"/>
      <c r="F2" s="154"/>
      <c r="G2" s="154"/>
      <c r="H2" s="154"/>
    </row>
    <row r="4" spans="1:8" ht="33.950000000000003" customHeight="1" x14ac:dyDescent="0.2">
      <c r="A4" s="28" t="s">
        <v>16</v>
      </c>
      <c r="B4" s="29" t="s">
        <v>386</v>
      </c>
      <c r="C4" s="29" t="s">
        <v>396</v>
      </c>
      <c r="D4" s="29" t="s">
        <v>397</v>
      </c>
      <c r="E4" s="29" t="s">
        <v>398</v>
      </c>
      <c r="F4" s="29" t="s">
        <v>399</v>
      </c>
      <c r="G4" s="29" t="s">
        <v>191</v>
      </c>
      <c r="H4" s="30" t="s">
        <v>400</v>
      </c>
    </row>
    <row r="5" spans="1:8" ht="38.1" customHeight="1" x14ac:dyDescent="0.2">
      <c r="A5" s="72">
        <v>1</v>
      </c>
      <c r="B5" s="73">
        <v>46095</v>
      </c>
      <c r="C5" s="74" t="s">
        <v>401</v>
      </c>
      <c r="D5" s="74" t="s">
        <v>402</v>
      </c>
      <c r="E5" s="74" t="s">
        <v>403</v>
      </c>
      <c r="F5" s="74" t="s">
        <v>404</v>
      </c>
      <c r="G5" s="80" t="s">
        <v>405</v>
      </c>
      <c r="H5" s="75" t="s">
        <v>406</v>
      </c>
    </row>
    <row r="6" spans="1:8" ht="38.1" customHeight="1" x14ac:dyDescent="0.2">
      <c r="A6" s="72">
        <v>2</v>
      </c>
      <c r="B6" s="73">
        <v>46148</v>
      </c>
      <c r="C6" s="74" t="s">
        <v>407</v>
      </c>
      <c r="D6" s="74" t="s">
        <v>408</v>
      </c>
      <c r="E6" s="74" t="s">
        <v>409</v>
      </c>
      <c r="F6" s="74" t="s">
        <v>410</v>
      </c>
      <c r="G6" s="80" t="s">
        <v>405</v>
      </c>
      <c r="H6" s="75" t="s">
        <v>406</v>
      </c>
    </row>
    <row r="7" spans="1:8" ht="38.1" customHeight="1" x14ac:dyDescent="0.2">
      <c r="A7" s="72">
        <v>3</v>
      </c>
      <c r="B7" s="73">
        <v>46154</v>
      </c>
      <c r="C7" s="74" t="s">
        <v>411</v>
      </c>
      <c r="D7" s="74" t="s">
        <v>412</v>
      </c>
      <c r="E7" s="74" t="s">
        <v>413</v>
      </c>
      <c r="F7" s="74" t="s">
        <v>410</v>
      </c>
      <c r="G7" s="80" t="s">
        <v>405</v>
      </c>
      <c r="H7" s="75" t="s">
        <v>406</v>
      </c>
    </row>
    <row r="8" spans="1:8" ht="38.1" customHeight="1" x14ac:dyDescent="0.2">
      <c r="A8" s="72">
        <v>4</v>
      </c>
      <c r="B8" s="73">
        <v>46157</v>
      </c>
      <c r="C8" s="74" t="s">
        <v>414</v>
      </c>
      <c r="D8" s="74" t="s">
        <v>415</v>
      </c>
      <c r="E8" s="74" t="s">
        <v>416</v>
      </c>
      <c r="F8" s="74" t="s">
        <v>91</v>
      </c>
      <c r="G8" s="80" t="s">
        <v>405</v>
      </c>
      <c r="H8" s="75" t="s">
        <v>406</v>
      </c>
    </row>
    <row r="9" spans="1:8" ht="38.1" customHeight="1" x14ac:dyDescent="0.2">
      <c r="A9" s="72">
        <v>5</v>
      </c>
      <c r="B9" s="73">
        <v>46162</v>
      </c>
      <c r="C9" s="74" t="s">
        <v>417</v>
      </c>
      <c r="D9" s="74" t="s">
        <v>418</v>
      </c>
      <c r="E9" s="74" t="s">
        <v>419</v>
      </c>
      <c r="F9" s="74" t="s">
        <v>410</v>
      </c>
      <c r="G9" s="80" t="s">
        <v>405</v>
      </c>
      <c r="H9" s="75" t="s">
        <v>406</v>
      </c>
    </row>
    <row r="10" spans="1:8" ht="38.1" customHeight="1" x14ac:dyDescent="0.2">
      <c r="A10" s="72">
        <v>6</v>
      </c>
      <c r="B10" s="73">
        <v>46168</v>
      </c>
      <c r="C10" s="74" t="s">
        <v>420</v>
      </c>
      <c r="D10" s="74" t="s">
        <v>421</v>
      </c>
      <c r="E10" s="74" t="s">
        <v>422</v>
      </c>
      <c r="F10" s="74" t="s">
        <v>91</v>
      </c>
      <c r="G10" s="80" t="s">
        <v>405</v>
      </c>
      <c r="H10" s="75" t="s">
        <v>406</v>
      </c>
    </row>
    <row r="11" spans="1:8" ht="38.1" customHeight="1" x14ac:dyDescent="0.2">
      <c r="A11" s="72">
        <v>7</v>
      </c>
      <c r="B11" s="73">
        <v>46168</v>
      </c>
      <c r="C11" s="74" t="s">
        <v>423</v>
      </c>
      <c r="D11" s="74" t="s">
        <v>424</v>
      </c>
      <c r="E11" s="74" t="s">
        <v>425</v>
      </c>
      <c r="F11" s="74" t="s">
        <v>100</v>
      </c>
      <c r="G11" s="81" t="s">
        <v>201</v>
      </c>
      <c r="H11" s="75" t="s">
        <v>202</v>
      </c>
    </row>
    <row r="12" spans="1:8" ht="38.1" customHeight="1" x14ac:dyDescent="0.2">
      <c r="A12" s="72">
        <v>8</v>
      </c>
      <c r="B12" s="73">
        <v>46176</v>
      </c>
      <c r="C12" s="74" t="s">
        <v>423</v>
      </c>
      <c r="D12" s="74" t="s">
        <v>426</v>
      </c>
      <c r="E12" s="74" t="s">
        <v>427</v>
      </c>
      <c r="F12" s="74" t="s">
        <v>100</v>
      </c>
      <c r="G12" s="81" t="s">
        <v>201</v>
      </c>
      <c r="H12" s="75" t="s">
        <v>207</v>
      </c>
    </row>
    <row r="13" spans="1:8" ht="38.1" customHeight="1" x14ac:dyDescent="0.2">
      <c r="A13" s="72">
        <v>9</v>
      </c>
      <c r="B13" s="73">
        <v>46179</v>
      </c>
      <c r="C13" s="74" t="s">
        <v>428</v>
      </c>
      <c r="D13" s="74" t="s">
        <v>429</v>
      </c>
      <c r="E13" s="74" t="s">
        <v>430</v>
      </c>
      <c r="F13" s="74" t="s">
        <v>410</v>
      </c>
      <c r="G13" s="80" t="s">
        <v>405</v>
      </c>
      <c r="H13" s="75" t="s">
        <v>406</v>
      </c>
    </row>
    <row r="14" spans="1:8" ht="38.1" customHeight="1" x14ac:dyDescent="0.2">
      <c r="A14" s="72">
        <v>10</v>
      </c>
      <c r="B14" s="73">
        <v>46182</v>
      </c>
      <c r="C14" s="74" t="s">
        <v>423</v>
      </c>
      <c r="D14" s="74" t="s">
        <v>431</v>
      </c>
      <c r="E14" s="74" t="s">
        <v>432</v>
      </c>
      <c r="F14" s="74" t="s">
        <v>100</v>
      </c>
      <c r="G14" s="81" t="s">
        <v>201</v>
      </c>
      <c r="H14" s="75" t="s">
        <v>212</v>
      </c>
    </row>
    <row r="15" spans="1:8" ht="38.1" customHeight="1" x14ac:dyDescent="0.2">
      <c r="A15" s="72">
        <v>11</v>
      </c>
      <c r="B15" s="73">
        <v>46182</v>
      </c>
      <c r="C15" s="74" t="s">
        <v>216</v>
      </c>
      <c r="D15" s="74" t="s">
        <v>433</v>
      </c>
      <c r="E15" s="74" t="s">
        <v>434</v>
      </c>
      <c r="F15" s="74" t="s">
        <v>100</v>
      </c>
      <c r="G15" s="81" t="s">
        <v>201</v>
      </c>
      <c r="H15" s="75" t="s">
        <v>217</v>
      </c>
    </row>
    <row r="16" spans="1:8" ht="38.1" customHeight="1" x14ac:dyDescent="0.2">
      <c r="A16" s="72">
        <v>12</v>
      </c>
      <c r="B16" s="73">
        <v>46183</v>
      </c>
      <c r="C16" s="74" t="s">
        <v>435</v>
      </c>
      <c r="D16" s="74" t="s">
        <v>436</v>
      </c>
      <c r="E16" s="74" t="s">
        <v>437</v>
      </c>
      <c r="F16" s="74" t="s">
        <v>100</v>
      </c>
      <c r="G16" s="81" t="s">
        <v>201</v>
      </c>
      <c r="H16" s="75" t="s">
        <v>222</v>
      </c>
    </row>
    <row r="17" spans="1:8" ht="38.1" customHeight="1" x14ac:dyDescent="0.2">
      <c r="A17" s="72">
        <v>13</v>
      </c>
      <c r="B17" s="73">
        <v>46190</v>
      </c>
      <c r="C17" s="74" t="s">
        <v>438</v>
      </c>
      <c r="D17" s="74" t="s">
        <v>439</v>
      </c>
      <c r="E17" s="74" t="s">
        <v>440</v>
      </c>
      <c r="F17" s="74" t="s">
        <v>441</v>
      </c>
      <c r="G17" s="80" t="s">
        <v>405</v>
      </c>
      <c r="H17" s="75" t="s">
        <v>406</v>
      </c>
    </row>
    <row r="18" spans="1:8" ht="38.1" customHeight="1" x14ac:dyDescent="0.2">
      <c r="A18" s="72">
        <v>14</v>
      </c>
      <c r="B18" s="73">
        <v>46197</v>
      </c>
      <c r="C18" s="74" t="s">
        <v>442</v>
      </c>
      <c r="D18" s="74" t="s">
        <v>443</v>
      </c>
      <c r="E18" s="74" t="s">
        <v>444</v>
      </c>
      <c r="F18" s="74" t="s">
        <v>410</v>
      </c>
      <c r="G18" s="80" t="s">
        <v>405</v>
      </c>
      <c r="H18" s="75" t="s">
        <v>406</v>
      </c>
    </row>
    <row r="19" spans="1:8" ht="38.1" customHeight="1" x14ac:dyDescent="0.2">
      <c r="A19" s="72">
        <v>15</v>
      </c>
      <c r="B19" s="73">
        <v>46197</v>
      </c>
      <c r="C19" s="74" t="s">
        <v>445</v>
      </c>
      <c r="D19" s="74" t="s">
        <v>446</v>
      </c>
      <c r="E19" s="74" t="s">
        <v>447</v>
      </c>
      <c r="F19" s="74" t="s">
        <v>441</v>
      </c>
      <c r="G19" s="80" t="s">
        <v>405</v>
      </c>
      <c r="H19" s="75" t="s">
        <v>406</v>
      </c>
    </row>
    <row r="20" spans="1:8" ht="38.1" customHeight="1" x14ac:dyDescent="0.2">
      <c r="A20" s="72">
        <v>16</v>
      </c>
      <c r="B20" s="73">
        <v>46206</v>
      </c>
      <c r="C20" s="74" t="s">
        <v>448</v>
      </c>
      <c r="D20" s="74" t="s">
        <v>449</v>
      </c>
      <c r="E20" s="74" t="s">
        <v>450</v>
      </c>
      <c r="F20" s="74" t="s">
        <v>100</v>
      </c>
      <c r="G20" s="81" t="s">
        <v>201</v>
      </c>
      <c r="H20" s="75" t="s">
        <v>451</v>
      </c>
    </row>
    <row r="21" spans="1:8" ht="38.1" customHeight="1" x14ac:dyDescent="0.2">
      <c r="A21" s="72">
        <v>17</v>
      </c>
      <c r="B21" s="73">
        <v>46224</v>
      </c>
      <c r="C21" s="74" t="s">
        <v>452</v>
      </c>
      <c r="D21" s="74" t="s">
        <v>453</v>
      </c>
      <c r="E21" s="74" t="s">
        <v>454</v>
      </c>
      <c r="F21" s="74" t="s">
        <v>100</v>
      </c>
      <c r="G21" s="81" t="s">
        <v>201</v>
      </c>
      <c r="H21" s="75" t="s">
        <v>232</v>
      </c>
    </row>
    <row r="22" spans="1:8" ht="38.1" customHeight="1" x14ac:dyDescent="0.2">
      <c r="A22" s="72">
        <v>18</v>
      </c>
      <c r="B22" s="73">
        <v>46241</v>
      </c>
      <c r="C22" s="74" t="s">
        <v>455</v>
      </c>
      <c r="D22" s="74" t="s">
        <v>456</v>
      </c>
      <c r="E22" s="74" t="s">
        <v>457</v>
      </c>
      <c r="F22" s="74" t="s">
        <v>100</v>
      </c>
      <c r="G22" s="81" t="s">
        <v>201</v>
      </c>
      <c r="H22" s="75" t="s">
        <v>237</v>
      </c>
    </row>
    <row r="23" spans="1:8" ht="38.1" customHeight="1" x14ac:dyDescent="0.2">
      <c r="A23" s="72">
        <v>19</v>
      </c>
      <c r="B23" s="73">
        <v>46241</v>
      </c>
      <c r="C23" s="74" t="s">
        <v>442</v>
      </c>
      <c r="D23" s="74" t="s">
        <v>458</v>
      </c>
      <c r="E23" s="74" t="s">
        <v>459</v>
      </c>
      <c r="F23" s="74" t="s">
        <v>100</v>
      </c>
      <c r="G23" s="81" t="s">
        <v>201</v>
      </c>
      <c r="H23" s="75" t="s">
        <v>247</v>
      </c>
    </row>
    <row r="24" spans="1:8" ht="38.1" customHeight="1" x14ac:dyDescent="0.2">
      <c r="A24" s="72">
        <v>20</v>
      </c>
      <c r="B24" s="73">
        <v>46244</v>
      </c>
      <c r="C24" s="74" t="s">
        <v>251</v>
      </c>
      <c r="D24" s="74" t="s">
        <v>460</v>
      </c>
      <c r="E24" s="74" t="s">
        <v>461</v>
      </c>
      <c r="F24" s="74" t="s">
        <v>100</v>
      </c>
      <c r="G24" s="81" t="s">
        <v>201</v>
      </c>
      <c r="H24" s="75" t="s">
        <v>252</v>
      </c>
    </row>
    <row r="25" spans="1:8" ht="38.1" customHeight="1" x14ac:dyDescent="0.2">
      <c r="A25" s="72">
        <v>21</v>
      </c>
      <c r="B25" s="73">
        <v>46260</v>
      </c>
      <c r="C25" s="74" t="s">
        <v>256</v>
      </c>
      <c r="D25" s="74" t="s">
        <v>462</v>
      </c>
      <c r="E25" s="74" t="s">
        <v>463</v>
      </c>
      <c r="F25" s="74" t="s">
        <v>104</v>
      </c>
      <c r="G25" s="81" t="s">
        <v>201</v>
      </c>
      <c r="H25" s="75" t="s">
        <v>257</v>
      </c>
    </row>
    <row r="26" spans="1:8" ht="38.1" customHeight="1" x14ac:dyDescent="0.2">
      <c r="A26" s="72">
        <v>22</v>
      </c>
      <c r="B26" s="73">
        <v>46265</v>
      </c>
      <c r="C26" s="74" t="s">
        <v>464</v>
      </c>
      <c r="D26" s="74" t="s">
        <v>465</v>
      </c>
      <c r="E26" s="74" t="s">
        <v>466</v>
      </c>
      <c r="F26" s="74" t="s">
        <v>108</v>
      </c>
      <c r="G26" s="81" t="s">
        <v>201</v>
      </c>
      <c r="H26" s="75" t="s">
        <v>262</v>
      </c>
    </row>
    <row r="27" spans="1:8" ht="38.1" customHeight="1" x14ac:dyDescent="0.2">
      <c r="A27" s="72">
        <v>23</v>
      </c>
      <c r="B27" s="73">
        <v>46265</v>
      </c>
      <c r="C27" s="74" t="s">
        <v>349</v>
      </c>
      <c r="D27" s="74" t="s">
        <v>467</v>
      </c>
      <c r="E27" s="74" t="s">
        <v>468</v>
      </c>
      <c r="F27" s="74" t="s">
        <v>91</v>
      </c>
      <c r="G27" s="80" t="s">
        <v>405</v>
      </c>
      <c r="H27" s="75" t="s">
        <v>406</v>
      </c>
    </row>
    <row r="28" spans="1:8" ht="38.1" customHeight="1" x14ac:dyDescent="0.2">
      <c r="A28" s="72">
        <v>24</v>
      </c>
      <c r="B28" s="73">
        <v>46268</v>
      </c>
      <c r="C28" s="74" t="s">
        <v>469</v>
      </c>
      <c r="D28" s="74" t="s">
        <v>470</v>
      </c>
      <c r="E28" s="74" t="s">
        <v>471</v>
      </c>
      <c r="F28" s="74" t="s">
        <v>108</v>
      </c>
      <c r="G28" s="81" t="s">
        <v>201</v>
      </c>
      <c r="H28" s="75" t="s">
        <v>267</v>
      </c>
    </row>
    <row r="29" spans="1:8" ht="38.1" customHeight="1" x14ac:dyDescent="0.2">
      <c r="A29" s="72">
        <v>25</v>
      </c>
      <c r="B29" s="73">
        <v>46271</v>
      </c>
      <c r="C29" s="74" t="s">
        <v>472</v>
      </c>
      <c r="D29" s="74" t="s">
        <v>473</v>
      </c>
      <c r="E29" s="74" t="s">
        <v>474</v>
      </c>
      <c r="F29" s="74" t="s">
        <v>108</v>
      </c>
      <c r="G29" s="81" t="s">
        <v>201</v>
      </c>
      <c r="H29" s="75" t="s">
        <v>271</v>
      </c>
    </row>
    <row r="30" spans="1:8" ht="38.1" customHeight="1" x14ac:dyDescent="0.2">
      <c r="A30" s="72">
        <v>26</v>
      </c>
      <c r="B30" s="73">
        <v>46272</v>
      </c>
      <c r="C30" s="74" t="s">
        <v>475</v>
      </c>
      <c r="D30" s="74" t="s">
        <v>476</v>
      </c>
      <c r="E30" s="74" t="s">
        <v>477</v>
      </c>
      <c r="F30" s="74" t="s">
        <v>104</v>
      </c>
      <c r="G30" s="81" t="s">
        <v>201</v>
      </c>
      <c r="H30" s="75" t="s">
        <v>276</v>
      </c>
    </row>
    <row r="31" spans="1:8" ht="38.1" customHeight="1" x14ac:dyDescent="0.2">
      <c r="A31" s="72">
        <v>27</v>
      </c>
      <c r="B31" s="73">
        <v>46273</v>
      </c>
      <c r="C31" s="74" t="s">
        <v>475</v>
      </c>
      <c r="D31" s="74" t="s">
        <v>478</v>
      </c>
      <c r="E31" s="74" t="s">
        <v>479</v>
      </c>
      <c r="F31" s="74" t="s">
        <v>104</v>
      </c>
      <c r="G31" s="81" t="s">
        <v>201</v>
      </c>
      <c r="H31" s="75" t="s">
        <v>280</v>
      </c>
    </row>
    <row r="32" spans="1:8" ht="38.1" customHeight="1" x14ac:dyDescent="0.2">
      <c r="A32" s="72">
        <v>28</v>
      </c>
      <c r="B32" s="73">
        <v>46273</v>
      </c>
      <c r="C32" s="74" t="s">
        <v>480</v>
      </c>
      <c r="D32" s="74" t="s">
        <v>481</v>
      </c>
      <c r="E32" s="74" t="s">
        <v>482</v>
      </c>
      <c r="F32" s="74" t="s">
        <v>108</v>
      </c>
      <c r="G32" s="81" t="s">
        <v>201</v>
      </c>
      <c r="H32" s="75" t="s">
        <v>284</v>
      </c>
    </row>
    <row r="33" spans="1:8" ht="38.1" customHeight="1" x14ac:dyDescent="0.2">
      <c r="A33" s="72">
        <v>29</v>
      </c>
      <c r="B33" s="73">
        <v>46273</v>
      </c>
      <c r="C33" s="74" t="s">
        <v>483</v>
      </c>
      <c r="D33" s="74" t="s">
        <v>484</v>
      </c>
      <c r="E33" s="74" t="s">
        <v>485</v>
      </c>
      <c r="F33" s="74" t="s">
        <v>108</v>
      </c>
      <c r="G33" s="81" t="s">
        <v>201</v>
      </c>
      <c r="H33" s="75" t="s">
        <v>289</v>
      </c>
    </row>
    <row r="34" spans="1:8" ht="38.1" customHeight="1" x14ac:dyDescent="0.2">
      <c r="A34" s="76">
        <v>30</v>
      </c>
      <c r="B34" s="77">
        <v>46274</v>
      </c>
      <c r="C34" s="78" t="s">
        <v>486</v>
      </c>
      <c r="D34" s="78" t="s">
        <v>487</v>
      </c>
      <c r="E34" s="78" t="s">
        <v>488</v>
      </c>
      <c r="F34" s="78" t="s">
        <v>441</v>
      </c>
      <c r="G34" s="82" t="s">
        <v>489</v>
      </c>
      <c r="H34" s="79" t="s">
        <v>406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13.046875" customWidth="1"/>
    <col min="3" max="3" width="18.0234375" customWidth="1"/>
    <col min="4" max="4" width="16.0078125" customWidth="1"/>
    <col min="5" max="5" width="9.953125" customWidth="1"/>
    <col min="6" max="6" width="11.97265625" customWidth="1"/>
    <col min="7" max="7" width="50.04296875" customWidth="1"/>
    <col min="8" max="8" width="18.0234375" customWidth="1"/>
    <col min="9" max="9" width="34.03125" customWidth="1"/>
    <col min="10" max="10" width="53.94140625" customWidth="1"/>
  </cols>
  <sheetData>
    <row r="1" spans="1:10" ht="30" customHeight="1" x14ac:dyDescent="0.2">
      <c r="A1" s="147" t="s">
        <v>490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32.1" customHeight="1" x14ac:dyDescent="0.2">
      <c r="A2" s="155" t="s">
        <v>491</v>
      </c>
      <c r="B2" s="155"/>
      <c r="C2" s="155"/>
      <c r="D2" s="155"/>
      <c r="E2" s="155"/>
      <c r="F2" s="155"/>
      <c r="G2" s="155"/>
      <c r="H2" s="155"/>
      <c r="I2" s="155"/>
      <c r="J2" s="155"/>
    </row>
    <row r="4" spans="1:10" ht="33.950000000000003" customHeight="1" x14ac:dyDescent="0.2">
      <c r="A4" s="28" t="s">
        <v>16</v>
      </c>
      <c r="B4" s="29" t="s">
        <v>386</v>
      </c>
      <c r="C4" s="29" t="s">
        <v>492</v>
      </c>
      <c r="D4" s="29" t="s">
        <v>493</v>
      </c>
      <c r="E4" s="29" t="s">
        <v>396</v>
      </c>
      <c r="F4" s="29" t="s">
        <v>494</v>
      </c>
      <c r="G4" s="29" t="s">
        <v>398</v>
      </c>
      <c r="H4" s="29" t="s">
        <v>191</v>
      </c>
      <c r="I4" s="29" t="s">
        <v>495</v>
      </c>
      <c r="J4" s="30" t="s">
        <v>496</v>
      </c>
    </row>
    <row r="5" spans="1:10" ht="32.1" customHeight="1" x14ac:dyDescent="0.2">
      <c r="A5" s="72">
        <v>1</v>
      </c>
      <c r="B5" s="73">
        <v>46168</v>
      </c>
      <c r="C5" s="81" t="s">
        <v>100</v>
      </c>
      <c r="D5" s="61" t="s">
        <v>497</v>
      </c>
      <c r="E5" s="61" t="s">
        <v>498</v>
      </c>
      <c r="F5" s="61" t="s">
        <v>499</v>
      </c>
      <c r="G5" s="74" t="s">
        <v>500</v>
      </c>
      <c r="H5" s="74" t="s">
        <v>501</v>
      </c>
      <c r="I5" s="74" t="s">
        <v>502</v>
      </c>
      <c r="J5" s="75" t="s">
        <v>202</v>
      </c>
    </row>
    <row r="6" spans="1:10" ht="32.1" customHeight="1" x14ac:dyDescent="0.2">
      <c r="A6" s="72">
        <v>2</v>
      </c>
      <c r="B6" s="73">
        <v>46174</v>
      </c>
      <c r="C6" s="81" t="s">
        <v>100</v>
      </c>
      <c r="D6" s="61" t="s">
        <v>497</v>
      </c>
      <c r="E6" s="61" t="s">
        <v>498</v>
      </c>
      <c r="F6" s="61" t="s">
        <v>503</v>
      </c>
      <c r="G6" s="74" t="s">
        <v>504</v>
      </c>
      <c r="H6" s="74" t="s">
        <v>501</v>
      </c>
      <c r="I6" s="74" t="s">
        <v>505</v>
      </c>
      <c r="J6" s="75" t="s">
        <v>207</v>
      </c>
    </row>
    <row r="7" spans="1:10" ht="32.1" customHeight="1" x14ac:dyDescent="0.2">
      <c r="A7" s="72">
        <v>3</v>
      </c>
      <c r="B7" s="73">
        <v>46181</v>
      </c>
      <c r="C7" s="81" t="s">
        <v>100</v>
      </c>
      <c r="D7" s="61" t="s">
        <v>497</v>
      </c>
      <c r="E7" s="61" t="s">
        <v>498</v>
      </c>
      <c r="F7" s="61" t="s">
        <v>506</v>
      </c>
      <c r="G7" s="74" t="s">
        <v>507</v>
      </c>
      <c r="H7" s="74" t="s">
        <v>501</v>
      </c>
      <c r="I7" s="74" t="s">
        <v>508</v>
      </c>
      <c r="J7" s="75" t="s">
        <v>212</v>
      </c>
    </row>
    <row r="8" spans="1:10" ht="32.1" customHeight="1" x14ac:dyDescent="0.2">
      <c r="A8" s="72">
        <v>4</v>
      </c>
      <c r="B8" s="73">
        <v>46181</v>
      </c>
      <c r="C8" s="81" t="s">
        <v>100</v>
      </c>
      <c r="D8" s="61" t="s">
        <v>497</v>
      </c>
      <c r="E8" s="61" t="s">
        <v>498</v>
      </c>
      <c r="F8" s="61" t="s">
        <v>509</v>
      </c>
      <c r="G8" s="74" t="s">
        <v>510</v>
      </c>
      <c r="H8" s="74" t="s">
        <v>511</v>
      </c>
      <c r="I8" s="74" t="s">
        <v>512</v>
      </c>
      <c r="J8" s="75" t="s">
        <v>513</v>
      </c>
    </row>
    <row r="9" spans="1:10" ht="32.1" customHeight="1" x14ac:dyDescent="0.2">
      <c r="A9" s="72">
        <v>5</v>
      </c>
      <c r="B9" s="73">
        <v>46182</v>
      </c>
      <c r="C9" s="81" t="s">
        <v>100</v>
      </c>
      <c r="D9" s="61" t="s">
        <v>497</v>
      </c>
      <c r="E9" s="61" t="s">
        <v>498</v>
      </c>
      <c r="F9" s="61" t="s">
        <v>514</v>
      </c>
      <c r="G9" s="74" t="s">
        <v>515</v>
      </c>
      <c r="H9" s="74" t="s">
        <v>511</v>
      </c>
      <c r="I9" s="74" t="s">
        <v>516</v>
      </c>
      <c r="J9" s="75" t="s">
        <v>517</v>
      </c>
    </row>
    <row r="10" spans="1:10" ht="32.1" customHeight="1" x14ac:dyDescent="0.2">
      <c r="A10" s="72">
        <v>6</v>
      </c>
      <c r="B10" s="73">
        <v>46182</v>
      </c>
      <c r="C10" s="81" t="s">
        <v>100</v>
      </c>
      <c r="D10" s="61" t="s">
        <v>497</v>
      </c>
      <c r="E10" s="61" t="s">
        <v>498</v>
      </c>
      <c r="F10" s="61" t="s">
        <v>518</v>
      </c>
      <c r="G10" s="74" t="s">
        <v>519</v>
      </c>
      <c r="H10" s="74" t="s">
        <v>501</v>
      </c>
      <c r="I10" s="74" t="s">
        <v>520</v>
      </c>
      <c r="J10" s="75" t="s">
        <v>217</v>
      </c>
    </row>
    <row r="11" spans="1:10" ht="32.1" customHeight="1" x14ac:dyDescent="0.2">
      <c r="A11" s="72">
        <v>7</v>
      </c>
      <c r="B11" s="73">
        <v>46182</v>
      </c>
      <c r="C11" s="81" t="s">
        <v>100</v>
      </c>
      <c r="D11" s="61" t="s">
        <v>497</v>
      </c>
      <c r="E11" s="61" t="s">
        <v>498</v>
      </c>
      <c r="F11" s="61" t="s">
        <v>521</v>
      </c>
      <c r="G11" s="74" t="s">
        <v>522</v>
      </c>
      <c r="H11" s="74" t="s">
        <v>501</v>
      </c>
      <c r="I11" s="74" t="s">
        <v>523</v>
      </c>
      <c r="J11" s="75" t="s">
        <v>524</v>
      </c>
    </row>
    <row r="12" spans="1:10" ht="32.1" customHeight="1" x14ac:dyDescent="0.2">
      <c r="A12" s="72">
        <v>8</v>
      </c>
      <c r="B12" s="73">
        <v>46183</v>
      </c>
      <c r="C12" s="81" t="s">
        <v>100</v>
      </c>
      <c r="D12" s="61" t="s">
        <v>497</v>
      </c>
      <c r="E12" s="61" t="s">
        <v>498</v>
      </c>
      <c r="F12" s="61" t="s">
        <v>525</v>
      </c>
      <c r="G12" s="74" t="s">
        <v>526</v>
      </c>
      <c r="H12" s="74" t="s">
        <v>501</v>
      </c>
      <c r="I12" s="74" t="s">
        <v>527</v>
      </c>
      <c r="J12" s="75" t="s">
        <v>222</v>
      </c>
    </row>
    <row r="13" spans="1:10" ht="32.1" customHeight="1" x14ac:dyDescent="0.2">
      <c r="A13" s="72">
        <v>9</v>
      </c>
      <c r="B13" s="73">
        <v>46189</v>
      </c>
      <c r="C13" s="81" t="s">
        <v>100</v>
      </c>
      <c r="D13" s="61" t="s">
        <v>497</v>
      </c>
      <c r="E13" s="61" t="s">
        <v>498</v>
      </c>
      <c r="F13" s="61" t="s">
        <v>528</v>
      </c>
      <c r="G13" s="74" t="s">
        <v>529</v>
      </c>
      <c r="H13" s="74" t="s">
        <v>501</v>
      </c>
      <c r="I13" s="74" t="s">
        <v>530</v>
      </c>
      <c r="J13" s="75" t="s">
        <v>247</v>
      </c>
    </row>
    <row r="14" spans="1:10" ht="32.1" customHeight="1" x14ac:dyDescent="0.2">
      <c r="A14" s="72">
        <v>10</v>
      </c>
      <c r="B14" s="73">
        <v>46244</v>
      </c>
      <c r="C14" s="81" t="s">
        <v>100</v>
      </c>
      <c r="D14" s="61" t="s">
        <v>497</v>
      </c>
      <c r="E14" s="61" t="s">
        <v>531</v>
      </c>
      <c r="F14" s="61" t="s">
        <v>532</v>
      </c>
      <c r="G14" s="74" t="s">
        <v>533</v>
      </c>
      <c r="H14" s="74" t="s">
        <v>534</v>
      </c>
      <c r="I14" s="74" t="s">
        <v>535</v>
      </c>
      <c r="J14" s="75" t="s">
        <v>536</v>
      </c>
    </row>
    <row r="15" spans="1:10" ht="32.1" customHeight="1" x14ac:dyDescent="0.2">
      <c r="A15" s="72">
        <v>11</v>
      </c>
      <c r="B15" s="73">
        <v>46244</v>
      </c>
      <c r="C15" s="81" t="s">
        <v>100</v>
      </c>
      <c r="D15" s="61" t="s">
        <v>497</v>
      </c>
      <c r="E15" s="61" t="s">
        <v>531</v>
      </c>
      <c r="F15" s="61" t="s">
        <v>537</v>
      </c>
      <c r="G15" s="74" t="s">
        <v>538</v>
      </c>
      <c r="H15" s="74" t="s">
        <v>534</v>
      </c>
      <c r="I15" s="74" t="s">
        <v>535</v>
      </c>
      <c r="J15" s="75" t="s">
        <v>539</v>
      </c>
    </row>
    <row r="16" spans="1:10" ht="32.1" customHeight="1" x14ac:dyDescent="0.2">
      <c r="A16" s="72">
        <v>12</v>
      </c>
      <c r="B16" s="73">
        <v>46244</v>
      </c>
      <c r="C16" s="81" t="s">
        <v>100</v>
      </c>
      <c r="D16" s="61" t="s">
        <v>497</v>
      </c>
      <c r="E16" s="61" t="s">
        <v>531</v>
      </c>
      <c r="F16" s="61" t="s">
        <v>540</v>
      </c>
      <c r="G16" s="74" t="s">
        <v>541</v>
      </c>
      <c r="H16" s="74" t="s">
        <v>534</v>
      </c>
      <c r="I16" s="74" t="s">
        <v>535</v>
      </c>
      <c r="J16" s="75" t="s">
        <v>542</v>
      </c>
    </row>
    <row r="17" spans="1:10" ht="32.1" customHeight="1" x14ac:dyDescent="0.2">
      <c r="A17" s="72">
        <v>13</v>
      </c>
      <c r="B17" s="73">
        <v>46244</v>
      </c>
      <c r="C17" s="81" t="s">
        <v>100</v>
      </c>
      <c r="D17" s="61" t="s">
        <v>497</v>
      </c>
      <c r="E17" s="61" t="s">
        <v>531</v>
      </c>
      <c r="F17" s="61" t="s">
        <v>543</v>
      </c>
      <c r="G17" s="74" t="s">
        <v>544</v>
      </c>
      <c r="H17" s="74" t="s">
        <v>534</v>
      </c>
      <c r="I17" s="74" t="s">
        <v>535</v>
      </c>
      <c r="J17" s="75" t="s">
        <v>545</v>
      </c>
    </row>
    <row r="18" spans="1:10" ht="32.1" customHeight="1" x14ac:dyDescent="0.2">
      <c r="A18" s="72">
        <v>14</v>
      </c>
      <c r="B18" s="73">
        <v>46241</v>
      </c>
      <c r="C18" s="81" t="s">
        <v>100</v>
      </c>
      <c r="D18" s="61" t="s">
        <v>497</v>
      </c>
      <c r="E18" s="61" t="s">
        <v>531</v>
      </c>
      <c r="F18" s="61" t="s">
        <v>546</v>
      </c>
      <c r="G18" s="74" t="s">
        <v>547</v>
      </c>
      <c r="H18" s="74" t="s">
        <v>534</v>
      </c>
      <c r="I18" s="74" t="s">
        <v>535</v>
      </c>
      <c r="J18" s="75" t="s">
        <v>548</v>
      </c>
    </row>
    <row r="19" spans="1:10" ht="32.1" customHeight="1" x14ac:dyDescent="0.2">
      <c r="A19" s="72">
        <v>15</v>
      </c>
      <c r="B19" s="73">
        <v>46241</v>
      </c>
      <c r="C19" s="81" t="s">
        <v>100</v>
      </c>
      <c r="D19" s="61" t="s">
        <v>497</v>
      </c>
      <c r="E19" s="61" t="s">
        <v>531</v>
      </c>
      <c r="F19" s="61" t="s">
        <v>549</v>
      </c>
      <c r="G19" s="74" t="s">
        <v>550</v>
      </c>
      <c r="H19" s="74" t="s">
        <v>534</v>
      </c>
      <c r="I19" s="74" t="s">
        <v>535</v>
      </c>
      <c r="J19" s="75" t="s">
        <v>551</v>
      </c>
    </row>
    <row r="20" spans="1:10" ht="32.1" customHeight="1" x14ac:dyDescent="0.2">
      <c r="A20" s="72">
        <v>16</v>
      </c>
      <c r="B20" s="73">
        <v>46241</v>
      </c>
      <c r="C20" s="81" t="s">
        <v>100</v>
      </c>
      <c r="D20" s="61" t="s">
        <v>497</v>
      </c>
      <c r="E20" s="61" t="s">
        <v>531</v>
      </c>
      <c r="F20" s="61" t="s">
        <v>552</v>
      </c>
      <c r="G20" s="74" t="s">
        <v>553</v>
      </c>
      <c r="H20" s="74" t="s">
        <v>534</v>
      </c>
      <c r="I20" s="74" t="s">
        <v>535</v>
      </c>
      <c r="J20" s="75" t="s">
        <v>554</v>
      </c>
    </row>
    <row r="21" spans="1:10" ht="32.1" customHeight="1" x14ac:dyDescent="0.2">
      <c r="A21" s="72">
        <v>17</v>
      </c>
      <c r="B21" s="73">
        <v>46241</v>
      </c>
      <c r="C21" s="81" t="s">
        <v>100</v>
      </c>
      <c r="D21" s="61" t="s">
        <v>497</v>
      </c>
      <c r="E21" s="61" t="s">
        <v>531</v>
      </c>
      <c r="F21" s="61" t="s">
        <v>555</v>
      </c>
      <c r="G21" s="74" t="s">
        <v>556</v>
      </c>
      <c r="H21" s="74" t="s">
        <v>534</v>
      </c>
      <c r="I21" s="74" t="s">
        <v>535</v>
      </c>
      <c r="J21" s="75" t="s">
        <v>557</v>
      </c>
    </row>
    <row r="22" spans="1:10" ht="32.1" customHeight="1" x14ac:dyDescent="0.2">
      <c r="A22" s="72">
        <v>18</v>
      </c>
      <c r="B22" s="73">
        <v>46241</v>
      </c>
      <c r="C22" s="81" t="s">
        <v>100</v>
      </c>
      <c r="D22" s="61" t="s">
        <v>497</v>
      </c>
      <c r="E22" s="61" t="s">
        <v>531</v>
      </c>
      <c r="F22" s="61" t="s">
        <v>558</v>
      </c>
      <c r="G22" s="74" t="s">
        <v>559</v>
      </c>
      <c r="H22" s="74" t="s">
        <v>534</v>
      </c>
      <c r="I22" s="74" t="s">
        <v>535</v>
      </c>
      <c r="J22" s="75" t="s">
        <v>560</v>
      </c>
    </row>
    <row r="23" spans="1:10" ht="32.1" customHeight="1" x14ac:dyDescent="0.2">
      <c r="A23" s="72">
        <v>19</v>
      </c>
      <c r="B23" s="73">
        <v>46241</v>
      </c>
      <c r="C23" s="81" t="s">
        <v>100</v>
      </c>
      <c r="D23" s="61" t="s">
        <v>497</v>
      </c>
      <c r="E23" s="61" t="s">
        <v>531</v>
      </c>
      <c r="F23" s="61" t="s">
        <v>561</v>
      </c>
      <c r="G23" s="74" t="s">
        <v>562</v>
      </c>
      <c r="H23" s="74" t="s">
        <v>534</v>
      </c>
      <c r="I23" s="74" t="s">
        <v>535</v>
      </c>
      <c r="J23" s="75" t="s">
        <v>563</v>
      </c>
    </row>
    <row r="24" spans="1:10" ht="32.1" customHeight="1" x14ac:dyDescent="0.2">
      <c r="A24" s="72">
        <v>20</v>
      </c>
      <c r="B24" s="73">
        <v>46241</v>
      </c>
      <c r="C24" s="81" t="s">
        <v>100</v>
      </c>
      <c r="D24" s="61" t="s">
        <v>497</v>
      </c>
      <c r="E24" s="61" t="s">
        <v>531</v>
      </c>
      <c r="F24" s="61" t="s">
        <v>564</v>
      </c>
      <c r="G24" s="74" t="s">
        <v>565</v>
      </c>
      <c r="H24" s="74" t="s">
        <v>534</v>
      </c>
      <c r="I24" s="74" t="s">
        <v>535</v>
      </c>
      <c r="J24" s="75" t="s">
        <v>566</v>
      </c>
    </row>
    <row r="25" spans="1:10" ht="32.1" customHeight="1" x14ac:dyDescent="0.2">
      <c r="A25" s="72">
        <v>21</v>
      </c>
      <c r="B25" s="73">
        <v>46241</v>
      </c>
      <c r="C25" s="81" t="s">
        <v>100</v>
      </c>
      <c r="D25" s="61" t="s">
        <v>497</v>
      </c>
      <c r="E25" s="61" t="s">
        <v>531</v>
      </c>
      <c r="F25" s="61" t="s">
        <v>567</v>
      </c>
      <c r="G25" s="74" t="s">
        <v>568</v>
      </c>
      <c r="H25" s="74" t="s">
        <v>534</v>
      </c>
      <c r="I25" s="74" t="s">
        <v>535</v>
      </c>
      <c r="J25" s="75" t="s">
        <v>569</v>
      </c>
    </row>
    <row r="26" spans="1:10" ht="32.1" customHeight="1" x14ac:dyDescent="0.2">
      <c r="A26" s="72">
        <v>22</v>
      </c>
      <c r="B26" s="73">
        <v>46241</v>
      </c>
      <c r="C26" s="81" t="s">
        <v>100</v>
      </c>
      <c r="D26" s="61" t="s">
        <v>497</v>
      </c>
      <c r="E26" s="61" t="s">
        <v>531</v>
      </c>
      <c r="F26" s="61" t="s">
        <v>570</v>
      </c>
      <c r="G26" s="74" t="s">
        <v>571</v>
      </c>
      <c r="H26" s="74" t="s">
        <v>534</v>
      </c>
      <c r="I26" s="74" t="s">
        <v>535</v>
      </c>
      <c r="J26" s="75" t="s">
        <v>572</v>
      </c>
    </row>
    <row r="27" spans="1:10" ht="32.1" customHeight="1" x14ac:dyDescent="0.2">
      <c r="A27" s="72">
        <v>23</v>
      </c>
      <c r="B27" s="73">
        <v>46241</v>
      </c>
      <c r="C27" s="81" t="s">
        <v>100</v>
      </c>
      <c r="D27" s="61" t="s">
        <v>497</v>
      </c>
      <c r="E27" s="61" t="s">
        <v>531</v>
      </c>
      <c r="F27" s="61" t="s">
        <v>573</v>
      </c>
      <c r="G27" s="74" t="s">
        <v>574</v>
      </c>
      <c r="H27" s="74" t="s">
        <v>534</v>
      </c>
      <c r="I27" s="74" t="s">
        <v>535</v>
      </c>
      <c r="J27" s="75" t="s">
        <v>575</v>
      </c>
    </row>
    <row r="28" spans="1:10" ht="32.1" customHeight="1" x14ac:dyDescent="0.2">
      <c r="A28" s="72">
        <v>24</v>
      </c>
      <c r="B28" s="73">
        <v>46241</v>
      </c>
      <c r="C28" s="81" t="s">
        <v>100</v>
      </c>
      <c r="D28" s="61" t="s">
        <v>497</v>
      </c>
      <c r="E28" s="61" t="s">
        <v>531</v>
      </c>
      <c r="F28" s="61" t="s">
        <v>576</v>
      </c>
      <c r="G28" s="74" t="s">
        <v>577</v>
      </c>
      <c r="H28" s="74" t="s">
        <v>534</v>
      </c>
      <c r="I28" s="74" t="s">
        <v>535</v>
      </c>
      <c r="J28" s="75" t="s">
        <v>578</v>
      </c>
    </row>
    <row r="29" spans="1:10" ht="32.1" customHeight="1" x14ac:dyDescent="0.2">
      <c r="A29" s="72">
        <v>25</v>
      </c>
      <c r="B29" s="73">
        <v>46241</v>
      </c>
      <c r="C29" s="81" t="s">
        <v>100</v>
      </c>
      <c r="D29" s="61" t="s">
        <v>497</v>
      </c>
      <c r="E29" s="61" t="s">
        <v>531</v>
      </c>
      <c r="F29" s="61" t="s">
        <v>579</v>
      </c>
      <c r="G29" s="74" t="s">
        <v>580</v>
      </c>
      <c r="H29" s="74" t="s">
        <v>534</v>
      </c>
      <c r="I29" s="74" t="s">
        <v>535</v>
      </c>
      <c r="J29" s="75" t="s">
        <v>581</v>
      </c>
    </row>
    <row r="30" spans="1:10" ht="32.1" customHeight="1" x14ac:dyDescent="0.2">
      <c r="A30" s="72">
        <v>26</v>
      </c>
      <c r="B30" s="73">
        <v>46241</v>
      </c>
      <c r="C30" s="81" t="s">
        <v>100</v>
      </c>
      <c r="D30" s="61" t="s">
        <v>497</v>
      </c>
      <c r="E30" s="61" t="s">
        <v>531</v>
      </c>
      <c r="F30" s="61" t="s">
        <v>582</v>
      </c>
      <c r="G30" s="74" t="s">
        <v>583</v>
      </c>
      <c r="H30" s="74" t="s">
        <v>534</v>
      </c>
      <c r="I30" s="74" t="s">
        <v>535</v>
      </c>
      <c r="J30" s="75" t="s">
        <v>584</v>
      </c>
    </row>
    <row r="31" spans="1:10" ht="32.1" customHeight="1" x14ac:dyDescent="0.2">
      <c r="A31" s="72">
        <v>27</v>
      </c>
      <c r="B31" s="73">
        <v>46241</v>
      </c>
      <c r="C31" s="81" t="s">
        <v>100</v>
      </c>
      <c r="D31" s="61" t="s">
        <v>497</v>
      </c>
      <c r="E31" s="61" t="s">
        <v>531</v>
      </c>
      <c r="F31" s="61" t="s">
        <v>585</v>
      </c>
      <c r="G31" s="74" t="s">
        <v>586</v>
      </c>
      <c r="H31" s="74" t="s">
        <v>534</v>
      </c>
      <c r="I31" s="74" t="s">
        <v>535</v>
      </c>
      <c r="J31" s="75" t="s">
        <v>587</v>
      </c>
    </row>
    <row r="32" spans="1:10" ht="32.1" customHeight="1" x14ac:dyDescent="0.2">
      <c r="A32" s="72">
        <v>28</v>
      </c>
      <c r="B32" s="73">
        <v>46241</v>
      </c>
      <c r="C32" s="81" t="s">
        <v>100</v>
      </c>
      <c r="D32" s="61" t="s">
        <v>497</v>
      </c>
      <c r="E32" s="61" t="s">
        <v>531</v>
      </c>
      <c r="F32" s="61" t="s">
        <v>588</v>
      </c>
      <c r="G32" s="74" t="s">
        <v>589</v>
      </c>
      <c r="H32" s="74" t="s">
        <v>534</v>
      </c>
      <c r="I32" s="74" t="s">
        <v>535</v>
      </c>
      <c r="J32" s="75" t="s">
        <v>590</v>
      </c>
    </row>
    <row r="33" spans="1:10" ht="32.1" customHeight="1" x14ac:dyDescent="0.2">
      <c r="A33" s="72">
        <v>29</v>
      </c>
      <c r="B33" s="73">
        <v>46241</v>
      </c>
      <c r="C33" s="81" t="s">
        <v>100</v>
      </c>
      <c r="D33" s="61" t="s">
        <v>497</v>
      </c>
      <c r="E33" s="61" t="s">
        <v>531</v>
      </c>
      <c r="F33" s="61" t="s">
        <v>591</v>
      </c>
      <c r="G33" s="74" t="s">
        <v>592</v>
      </c>
      <c r="H33" s="74" t="s">
        <v>534</v>
      </c>
      <c r="I33" s="74" t="s">
        <v>535</v>
      </c>
      <c r="J33" s="75" t="s">
        <v>593</v>
      </c>
    </row>
    <row r="34" spans="1:10" ht="32.1" customHeight="1" x14ac:dyDescent="0.2">
      <c r="A34" s="72">
        <v>30</v>
      </c>
      <c r="B34" s="73">
        <v>46241</v>
      </c>
      <c r="C34" s="81" t="s">
        <v>100</v>
      </c>
      <c r="D34" s="61" t="s">
        <v>497</v>
      </c>
      <c r="E34" s="61" t="s">
        <v>531</v>
      </c>
      <c r="F34" s="61" t="s">
        <v>594</v>
      </c>
      <c r="G34" s="74" t="s">
        <v>595</v>
      </c>
      <c r="H34" s="74" t="s">
        <v>534</v>
      </c>
      <c r="I34" s="74" t="s">
        <v>535</v>
      </c>
      <c r="J34" s="75" t="s">
        <v>596</v>
      </c>
    </row>
    <row r="35" spans="1:10" ht="32.1" customHeight="1" x14ac:dyDescent="0.2">
      <c r="A35" s="72">
        <v>31</v>
      </c>
      <c r="B35" s="73">
        <v>46224</v>
      </c>
      <c r="C35" s="81" t="s">
        <v>100</v>
      </c>
      <c r="D35" s="61" t="s">
        <v>497</v>
      </c>
      <c r="E35" s="61" t="s">
        <v>531</v>
      </c>
      <c r="F35" s="61" t="s">
        <v>597</v>
      </c>
      <c r="G35" s="74" t="s">
        <v>598</v>
      </c>
      <c r="H35" s="74" t="s">
        <v>534</v>
      </c>
      <c r="I35" s="74" t="s">
        <v>535</v>
      </c>
      <c r="J35" s="75" t="s">
        <v>599</v>
      </c>
    </row>
    <row r="36" spans="1:10" ht="32.1" customHeight="1" x14ac:dyDescent="0.2">
      <c r="A36" s="72">
        <v>32</v>
      </c>
      <c r="B36" s="73">
        <v>46224</v>
      </c>
      <c r="C36" s="81" t="s">
        <v>100</v>
      </c>
      <c r="D36" s="61" t="s">
        <v>497</v>
      </c>
      <c r="E36" s="61" t="s">
        <v>531</v>
      </c>
      <c r="F36" s="61" t="s">
        <v>600</v>
      </c>
      <c r="G36" s="74" t="s">
        <v>601</v>
      </c>
      <c r="H36" s="74" t="s">
        <v>534</v>
      </c>
      <c r="I36" s="74" t="s">
        <v>535</v>
      </c>
      <c r="J36" s="75" t="s">
        <v>602</v>
      </c>
    </row>
    <row r="37" spans="1:10" ht="32.1" customHeight="1" x14ac:dyDescent="0.2">
      <c r="A37" s="72">
        <v>33</v>
      </c>
      <c r="B37" s="73">
        <v>46224</v>
      </c>
      <c r="C37" s="81" t="s">
        <v>100</v>
      </c>
      <c r="D37" s="61" t="s">
        <v>497</v>
      </c>
      <c r="E37" s="61" t="s">
        <v>531</v>
      </c>
      <c r="F37" s="61" t="s">
        <v>603</v>
      </c>
      <c r="G37" s="74" t="s">
        <v>604</v>
      </c>
      <c r="H37" s="74" t="s">
        <v>534</v>
      </c>
      <c r="I37" s="74" t="s">
        <v>535</v>
      </c>
      <c r="J37" s="75" t="s">
        <v>605</v>
      </c>
    </row>
    <row r="38" spans="1:10" ht="32.1" customHeight="1" x14ac:dyDescent="0.2">
      <c r="A38" s="72">
        <v>34</v>
      </c>
      <c r="B38" s="73">
        <v>46224</v>
      </c>
      <c r="C38" s="81" t="s">
        <v>100</v>
      </c>
      <c r="D38" s="61" t="s">
        <v>497</v>
      </c>
      <c r="E38" s="61" t="s">
        <v>531</v>
      </c>
      <c r="F38" s="61" t="s">
        <v>606</v>
      </c>
      <c r="G38" s="74" t="s">
        <v>607</v>
      </c>
      <c r="H38" s="74" t="s">
        <v>534</v>
      </c>
      <c r="I38" s="74" t="s">
        <v>535</v>
      </c>
      <c r="J38" s="75" t="s">
        <v>608</v>
      </c>
    </row>
    <row r="39" spans="1:10" ht="32.1" customHeight="1" x14ac:dyDescent="0.2">
      <c r="A39" s="72">
        <v>35</v>
      </c>
      <c r="B39" s="73">
        <v>46224</v>
      </c>
      <c r="C39" s="81" t="s">
        <v>100</v>
      </c>
      <c r="D39" s="61" t="s">
        <v>497</v>
      </c>
      <c r="E39" s="61" t="s">
        <v>531</v>
      </c>
      <c r="F39" s="61" t="s">
        <v>609</v>
      </c>
      <c r="G39" s="74" t="s">
        <v>610</v>
      </c>
      <c r="H39" s="74" t="s">
        <v>534</v>
      </c>
      <c r="I39" s="74" t="s">
        <v>535</v>
      </c>
      <c r="J39" s="75" t="s">
        <v>611</v>
      </c>
    </row>
    <row r="40" spans="1:10" ht="32.1" customHeight="1" x14ac:dyDescent="0.2">
      <c r="A40" s="72">
        <v>36</v>
      </c>
      <c r="B40" s="73">
        <v>46224</v>
      </c>
      <c r="C40" s="81" t="s">
        <v>100</v>
      </c>
      <c r="D40" s="61" t="s">
        <v>497</v>
      </c>
      <c r="E40" s="61" t="s">
        <v>531</v>
      </c>
      <c r="F40" s="61" t="s">
        <v>612</v>
      </c>
      <c r="G40" s="74" t="s">
        <v>613</v>
      </c>
      <c r="H40" s="74" t="s">
        <v>534</v>
      </c>
      <c r="I40" s="74" t="s">
        <v>535</v>
      </c>
      <c r="J40" s="75" t="s">
        <v>614</v>
      </c>
    </row>
    <row r="41" spans="1:10" ht="32.1" customHeight="1" x14ac:dyDescent="0.2">
      <c r="A41" s="72">
        <v>37</v>
      </c>
      <c r="B41" s="73">
        <v>46224</v>
      </c>
      <c r="C41" s="81" t="s">
        <v>100</v>
      </c>
      <c r="D41" s="61" t="s">
        <v>497</v>
      </c>
      <c r="E41" s="61" t="s">
        <v>531</v>
      </c>
      <c r="F41" s="61" t="s">
        <v>615</v>
      </c>
      <c r="G41" s="74" t="s">
        <v>616</v>
      </c>
      <c r="H41" s="74" t="s">
        <v>534</v>
      </c>
      <c r="I41" s="74" t="s">
        <v>535</v>
      </c>
      <c r="J41" s="75" t="s">
        <v>617</v>
      </c>
    </row>
    <row r="42" spans="1:10" ht="32.1" customHeight="1" x14ac:dyDescent="0.2">
      <c r="A42" s="72">
        <v>38</v>
      </c>
      <c r="B42" s="73">
        <v>46224</v>
      </c>
      <c r="C42" s="81" t="s">
        <v>100</v>
      </c>
      <c r="D42" s="61" t="s">
        <v>497</v>
      </c>
      <c r="E42" s="61" t="s">
        <v>531</v>
      </c>
      <c r="F42" s="61" t="s">
        <v>618</v>
      </c>
      <c r="G42" s="74" t="s">
        <v>619</v>
      </c>
      <c r="H42" s="74" t="s">
        <v>534</v>
      </c>
      <c r="I42" s="74" t="s">
        <v>535</v>
      </c>
      <c r="J42" s="75" t="s">
        <v>620</v>
      </c>
    </row>
    <row r="43" spans="1:10" ht="32.1" customHeight="1" x14ac:dyDescent="0.2">
      <c r="A43" s="72">
        <v>39</v>
      </c>
      <c r="B43" s="73">
        <v>46224</v>
      </c>
      <c r="C43" s="81" t="s">
        <v>100</v>
      </c>
      <c r="D43" s="61" t="s">
        <v>497</v>
      </c>
      <c r="E43" s="61" t="s">
        <v>531</v>
      </c>
      <c r="F43" s="61" t="s">
        <v>621</v>
      </c>
      <c r="G43" s="74" t="s">
        <v>622</v>
      </c>
      <c r="H43" s="74" t="s">
        <v>534</v>
      </c>
      <c r="I43" s="74" t="s">
        <v>535</v>
      </c>
      <c r="J43" s="75" t="s">
        <v>623</v>
      </c>
    </row>
    <row r="44" spans="1:10" ht="32.1" customHeight="1" x14ac:dyDescent="0.2">
      <c r="A44" s="72">
        <v>40</v>
      </c>
      <c r="B44" s="73">
        <v>46224</v>
      </c>
      <c r="C44" s="81" t="s">
        <v>100</v>
      </c>
      <c r="D44" s="61" t="s">
        <v>497</v>
      </c>
      <c r="E44" s="61" t="s">
        <v>531</v>
      </c>
      <c r="F44" s="61" t="s">
        <v>624</v>
      </c>
      <c r="G44" s="74" t="s">
        <v>625</v>
      </c>
      <c r="H44" s="74" t="s">
        <v>534</v>
      </c>
      <c r="I44" s="74" t="s">
        <v>535</v>
      </c>
      <c r="J44" s="75" t="s">
        <v>626</v>
      </c>
    </row>
    <row r="45" spans="1:10" ht="32.1" customHeight="1" x14ac:dyDescent="0.2">
      <c r="A45" s="72">
        <v>41</v>
      </c>
      <c r="B45" s="73">
        <v>46224</v>
      </c>
      <c r="C45" s="81" t="s">
        <v>100</v>
      </c>
      <c r="D45" s="61" t="s">
        <v>497</v>
      </c>
      <c r="E45" s="61" t="s">
        <v>531</v>
      </c>
      <c r="F45" s="61" t="s">
        <v>627</v>
      </c>
      <c r="G45" s="74" t="s">
        <v>628</v>
      </c>
      <c r="H45" s="74" t="s">
        <v>534</v>
      </c>
      <c r="I45" s="74" t="s">
        <v>535</v>
      </c>
      <c r="J45" s="75" t="s">
        <v>629</v>
      </c>
    </row>
    <row r="46" spans="1:10" ht="32.1" customHeight="1" x14ac:dyDescent="0.2">
      <c r="A46" s="72">
        <v>42</v>
      </c>
      <c r="B46" s="73">
        <v>46224</v>
      </c>
      <c r="C46" s="81" t="s">
        <v>100</v>
      </c>
      <c r="D46" s="61" t="s">
        <v>497</v>
      </c>
      <c r="E46" s="61" t="s">
        <v>531</v>
      </c>
      <c r="F46" s="61" t="s">
        <v>630</v>
      </c>
      <c r="G46" s="74" t="s">
        <v>631</v>
      </c>
      <c r="H46" s="74" t="s">
        <v>534</v>
      </c>
      <c r="I46" s="74" t="s">
        <v>535</v>
      </c>
      <c r="J46" s="75" t="s">
        <v>632</v>
      </c>
    </row>
    <row r="47" spans="1:10" ht="32.1" customHeight="1" x14ac:dyDescent="0.2">
      <c r="A47" s="72">
        <v>43</v>
      </c>
      <c r="B47" s="73">
        <v>46224</v>
      </c>
      <c r="C47" s="81" t="s">
        <v>100</v>
      </c>
      <c r="D47" s="61" t="s">
        <v>497</v>
      </c>
      <c r="E47" s="61" t="s">
        <v>531</v>
      </c>
      <c r="F47" s="61" t="s">
        <v>633</v>
      </c>
      <c r="G47" s="74" t="s">
        <v>634</v>
      </c>
      <c r="H47" s="74" t="s">
        <v>534</v>
      </c>
      <c r="I47" s="74" t="s">
        <v>535</v>
      </c>
      <c r="J47" s="75" t="s">
        <v>635</v>
      </c>
    </row>
    <row r="48" spans="1:10" ht="32.1" customHeight="1" x14ac:dyDescent="0.2">
      <c r="A48" s="72">
        <v>44</v>
      </c>
      <c r="B48" s="73">
        <v>46224</v>
      </c>
      <c r="C48" s="81" t="s">
        <v>100</v>
      </c>
      <c r="D48" s="61" t="s">
        <v>497</v>
      </c>
      <c r="E48" s="61" t="s">
        <v>531</v>
      </c>
      <c r="F48" s="61" t="s">
        <v>636</v>
      </c>
      <c r="G48" s="74" t="s">
        <v>637</v>
      </c>
      <c r="H48" s="74" t="s">
        <v>534</v>
      </c>
      <c r="I48" s="74" t="s">
        <v>535</v>
      </c>
      <c r="J48" s="75" t="s">
        <v>638</v>
      </c>
    </row>
    <row r="49" spans="1:10" ht="32.1" customHeight="1" x14ac:dyDescent="0.2">
      <c r="A49" s="72">
        <v>45</v>
      </c>
      <c r="B49" s="73">
        <v>46224</v>
      </c>
      <c r="C49" s="81" t="s">
        <v>100</v>
      </c>
      <c r="D49" s="61" t="s">
        <v>497</v>
      </c>
      <c r="E49" s="61" t="s">
        <v>531</v>
      </c>
      <c r="F49" s="61" t="s">
        <v>639</v>
      </c>
      <c r="G49" s="74" t="s">
        <v>640</v>
      </c>
      <c r="H49" s="74" t="s">
        <v>534</v>
      </c>
      <c r="I49" s="74" t="s">
        <v>535</v>
      </c>
      <c r="J49" s="75" t="s">
        <v>641</v>
      </c>
    </row>
    <row r="50" spans="1:10" ht="32.1" customHeight="1" x14ac:dyDescent="0.2">
      <c r="A50" s="72">
        <v>46</v>
      </c>
      <c r="B50" s="73">
        <v>46211</v>
      </c>
      <c r="C50" s="81" t="s">
        <v>100</v>
      </c>
      <c r="D50" s="61" t="s">
        <v>497</v>
      </c>
      <c r="E50" s="61" t="s">
        <v>531</v>
      </c>
      <c r="F50" s="61" t="s">
        <v>642</v>
      </c>
      <c r="G50" s="74" t="s">
        <v>643</v>
      </c>
      <c r="H50" s="74" t="s">
        <v>534</v>
      </c>
      <c r="I50" s="74" t="s">
        <v>535</v>
      </c>
      <c r="J50" s="75" t="s">
        <v>644</v>
      </c>
    </row>
    <row r="51" spans="1:10" ht="32.1" customHeight="1" x14ac:dyDescent="0.2">
      <c r="A51" s="72">
        <v>47</v>
      </c>
      <c r="B51" s="73">
        <v>46210</v>
      </c>
      <c r="C51" s="81" t="s">
        <v>100</v>
      </c>
      <c r="D51" s="61" t="s">
        <v>497</v>
      </c>
      <c r="E51" s="61" t="s">
        <v>531</v>
      </c>
      <c r="F51" s="61" t="s">
        <v>645</v>
      </c>
      <c r="G51" s="74" t="s">
        <v>646</v>
      </c>
      <c r="H51" s="74" t="s">
        <v>534</v>
      </c>
      <c r="I51" s="74" t="s">
        <v>535</v>
      </c>
      <c r="J51" s="75" t="s">
        <v>647</v>
      </c>
    </row>
    <row r="52" spans="1:10" ht="32.1" customHeight="1" x14ac:dyDescent="0.2">
      <c r="A52" s="72">
        <v>48</v>
      </c>
      <c r="B52" s="73">
        <v>46206</v>
      </c>
      <c r="C52" s="81" t="s">
        <v>100</v>
      </c>
      <c r="D52" s="61" t="s">
        <v>497</v>
      </c>
      <c r="E52" s="61" t="s">
        <v>531</v>
      </c>
      <c r="F52" s="61" t="s">
        <v>648</v>
      </c>
      <c r="G52" s="74" t="s">
        <v>649</v>
      </c>
      <c r="H52" s="74" t="s">
        <v>534</v>
      </c>
      <c r="I52" s="74" t="s">
        <v>535</v>
      </c>
      <c r="J52" s="75" t="s">
        <v>650</v>
      </c>
    </row>
    <row r="53" spans="1:10" ht="32.1" customHeight="1" x14ac:dyDescent="0.2">
      <c r="A53" s="72">
        <v>49</v>
      </c>
      <c r="B53" s="73">
        <v>46206</v>
      </c>
      <c r="C53" s="81" t="s">
        <v>100</v>
      </c>
      <c r="D53" s="61" t="s">
        <v>497</v>
      </c>
      <c r="E53" s="61" t="s">
        <v>531</v>
      </c>
      <c r="F53" s="61" t="s">
        <v>651</v>
      </c>
      <c r="G53" s="74" t="s">
        <v>652</v>
      </c>
      <c r="H53" s="74" t="s">
        <v>534</v>
      </c>
      <c r="I53" s="74" t="s">
        <v>535</v>
      </c>
      <c r="J53" s="75" t="s">
        <v>653</v>
      </c>
    </row>
    <row r="54" spans="1:10" ht="32.1" customHeight="1" x14ac:dyDescent="0.2">
      <c r="A54" s="72">
        <v>50</v>
      </c>
      <c r="B54" s="73">
        <v>46206</v>
      </c>
      <c r="C54" s="81" t="s">
        <v>100</v>
      </c>
      <c r="D54" s="61" t="s">
        <v>497</v>
      </c>
      <c r="E54" s="61" t="s">
        <v>531</v>
      </c>
      <c r="F54" s="61" t="s">
        <v>654</v>
      </c>
      <c r="G54" s="74" t="s">
        <v>655</v>
      </c>
      <c r="H54" s="74" t="s">
        <v>534</v>
      </c>
      <c r="I54" s="74" t="s">
        <v>535</v>
      </c>
      <c r="J54" s="75" t="s">
        <v>656</v>
      </c>
    </row>
    <row r="55" spans="1:10" ht="32.1" customHeight="1" x14ac:dyDescent="0.2">
      <c r="A55" s="72">
        <v>51</v>
      </c>
      <c r="B55" s="73">
        <v>46206</v>
      </c>
      <c r="C55" s="81" t="s">
        <v>100</v>
      </c>
      <c r="D55" s="61" t="s">
        <v>497</v>
      </c>
      <c r="E55" s="61" t="s">
        <v>531</v>
      </c>
      <c r="F55" s="61" t="s">
        <v>657</v>
      </c>
      <c r="G55" s="74" t="s">
        <v>658</v>
      </c>
      <c r="H55" s="74" t="s">
        <v>534</v>
      </c>
      <c r="I55" s="74" t="s">
        <v>535</v>
      </c>
      <c r="J55" s="75" t="s">
        <v>659</v>
      </c>
    </row>
    <row r="56" spans="1:10" ht="32.1" customHeight="1" x14ac:dyDescent="0.2">
      <c r="A56" s="72">
        <v>52</v>
      </c>
      <c r="B56" s="73">
        <v>46206</v>
      </c>
      <c r="C56" s="81" t="s">
        <v>100</v>
      </c>
      <c r="D56" s="61" t="s">
        <v>497</v>
      </c>
      <c r="E56" s="61" t="s">
        <v>531</v>
      </c>
      <c r="F56" s="61" t="s">
        <v>660</v>
      </c>
      <c r="G56" s="74" t="s">
        <v>661</v>
      </c>
      <c r="H56" s="74" t="s">
        <v>534</v>
      </c>
      <c r="I56" s="74" t="s">
        <v>535</v>
      </c>
      <c r="J56" s="75" t="s">
        <v>662</v>
      </c>
    </row>
    <row r="57" spans="1:10" ht="32.1" customHeight="1" x14ac:dyDescent="0.2">
      <c r="A57" s="72">
        <v>53</v>
      </c>
      <c r="B57" s="73">
        <v>46206</v>
      </c>
      <c r="C57" s="81" t="s">
        <v>100</v>
      </c>
      <c r="D57" s="61" t="s">
        <v>497</v>
      </c>
      <c r="E57" s="61" t="s">
        <v>531</v>
      </c>
      <c r="F57" s="61" t="s">
        <v>663</v>
      </c>
      <c r="G57" s="74" t="s">
        <v>664</v>
      </c>
      <c r="H57" s="74" t="s">
        <v>534</v>
      </c>
      <c r="I57" s="74" t="s">
        <v>535</v>
      </c>
      <c r="J57" s="75" t="s">
        <v>665</v>
      </c>
    </row>
    <row r="58" spans="1:10" ht="32.1" customHeight="1" x14ac:dyDescent="0.2">
      <c r="A58" s="72">
        <v>54</v>
      </c>
      <c r="B58" s="73">
        <v>46206</v>
      </c>
      <c r="C58" s="81" t="s">
        <v>100</v>
      </c>
      <c r="D58" s="61" t="s">
        <v>497</v>
      </c>
      <c r="E58" s="61" t="s">
        <v>531</v>
      </c>
      <c r="F58" s="61" t="s">
        <v>666</v>
      </c>
      <c r="G58" s="74" t="s">
        <v>667</v>
      </c>
      <c r="H58" s="74" t="s">
        <v>534</v>
      </c>
      <c r="I58" s="74" t="s">
        <v>535</v>
      </c>
      <c r="J58" s="75" t="s">
        <v>668</v>
      </c>
    </row>
    <row r="59" spans="1:10" ht="32.1" customHeight="1" x14ac:dyDescent="0.2">
      <c r="A59" s="72">
        <v>55</v>
      </c>
      <c r="B59" s="73">
        <v>46273</v>
      </c>
      <c r="C59" s="80" t="s">
        <v>108</v>
      </c>
      <c r="D59" s="61" t="s">
        <v>669</v>
      </c>
      <c r="E59" s="61" t="s">
        <v>531</v>
      </c>
      <c r="F59" s="61" t="s">
        <v>670</v>
      </c>
      <c r="G59" s="74" t="s">
        <v>671</v>
      </c>
      <c r="H59" s="74" t="s">
        <v>534</v>
      </c>
      <c r="I59" s="74" t="s">
        <v>535</v>
      </c>
      <c r="J59" s="75" t="s">
        <v>672</v>
      </c>
    </row>
    <row r="60" spans="1:10" ht="32.1" customHeight="1" x14ac:dyDescent="0.2">
      <c r="A60" s="72">
        <v>56</v>
      </c>
      <c r="B60" s="73">
        <v>46273</v>
      </c>
      <c r="C60" s="80" t="s">
        <v>108</v>
      </c>
      <c r="D60" s="61" t="s">
        <v>669</v>
      </c>
      <c r="E60" s="61" t="s">
        <v>531</v>
      </c>
      <c r="F60" s="61" t="s">
        <v>673</v>
      </c>
      <c r="G60" s="74" t="s">
        <v>674</v>
      </c>
      <c r="H60" s="74" t="s">
        <v>534</v>
      </c>
      <c r="I60" s="74" t="s">
        <v>535</v>
      </c>
      <c r="J60" s="75" t="s">
        <v>675</v>
      </c>
    </row>
    <row r="61" spans="1:10" ht="32.1" customHeight="1" x14ac:dyDescent="0.2">
      <c r="A61" s="72">
        <v>57</v>
      </c>
      <c r="B61" s="73">
        <v>46271</v>
      </c>
      <c r="C61" s="80" t="s">
        <v>108</v>
      </c>
      <c r="D61" s="61" t="s">
        <v>669</v>
      </c>
      <c r="E61" s="61" t="s">
        <v>531</v>
      </c>
      <c r="F61" s="61" t="s">
        <v>676</v>
      </c>
      <c r="G61" s="74" t="s">
        <v>677</v>
      </c>
      <c r="H61" s="74" t="s">
        <v>534</v>
      </c>
      <c r="I61" s="74" t="s">
        <v>535</v>
      </c>
      <c r="J61" s="75" t="s">
        <v>678</v>
      </c>
    </row>
    <row r="62" spans="1:10" ht="32.1" customHeight="1" x14ac:dyDescent="0.2">
      <c r="A62" s="72">
        <v>58</v>
      </c>
      <c r="B62" s="73">
        <v>46268</v>
      </c>
      <c r="C62" s="80" t="s">
        <v>108</v>
      </c>
      <c r="D62" s="61" t="s">
        <v>669</v>
      </c>
      <c r="E62" s="61" t="s">
        <v>531</v>
      </c>
      <c r="F62" s="61" t="s">
        <v>679</v>
      </c>
      <c r="G62" s="74" t="s">
        <v>680</v>
      </c>
      <c r="H62" s="74" t="s">
        <v>534</v>
      </c>
      <c r="I62" s="74" t="s">
        <v>535</v>
      </c>
      <c r="J62" s="75" t="s">
        <v>681</v>
      </c>
    </row>
    <row r="63" spans="1:10" ht="32.1" customHeight="1" x14ac:dyDescent="0.2">
      <c r="A63" s="72">
        <v>59</v>
      </c>
      <c r="B63" s="73">
        <v>46265</v>
      </c>
      <c r="C63" s="80" t="s">
        <v>108</v>
      </c>
      <c r="D63" s="61" t="s">
        <v>669</v>
      </c>
      <c r="E63" s="61" t="s">
        <v>531</v>
      </c>
      <c r="F63" s="61" t="s">
        <v>682</v>
      </c>
      <c r="G63" s="74" t="s">
        <v>683</v>
      </c>
      <c r="H63" s="74" t="s">
        <v>534</v>
      </c>
      <c r="I63" s="74" t="s">
        <v>535</v>
      </c>
      <c r="J63" s="75" t="s">
        <v>684</v>
      </c>
    </row>
    <row r="64" spans="1:10" ht="32.1" customHeight="1" x14ac:dyDescent="0.2">
      <c r="A64" s="72">
        <v>60</v>
      </c>
      <c r="B64" s="73">
        <v>46265</v>
      </c>
      <c r="C64" s="80" t="s">
        <v>108</v>
      </c>
      <c r="D64" s="61" t="s">
        <v>669</v>
      </c>
      <c r="E64" s="61" t="s">
        <v>531</v>
      </c>
      <c r="F64" s="61" t="s">
        <v>685</v>
      </c>
      <c r="G64" s="74" t="s">
        <v>686</v>
      </c>
      <c r="H64" s="74" t="s">
        <v>534</v>
      </c>
      <c r="I64" s="74" t="s">
        <v>535</v>
      </c>
      <c r="J64" s="75" t="s">
        <v>687</v>
      </c>
    </row>
    <row r="65" spans="1:10" ht="32.1" customHeight="1" x14ac:dyDescent="0.2">
      <c r="A65" s="72">
        <v>61</v>
      </c>
      <c r="B65" s="73">
        <v>46273</v>
      </c>
      <c r="C65" s="83" t="s">
        <v>104</v>
      </c>
      <c r="D65" s="61" t="s">
        <v>688</v>
      </c>
      <c r="E65" s="61" t="s">
        <v>531</v>
      </c>
      <c r="F65" s="61" t="s">
        <v>689</v>
      </c>
      <c r="G65" s="74" t="s">
        <v>690</v>
      </c>
      <c r="H65" s="74" t="s">
        <v>534</v>
      </c>
      <c r="I65" s="74" t="s">
        <v>535</v>
      </c>
      <c r="J65" s="75" t="s">
        <v>691</v>
      </c>
    </row>
    <row r="66" spans="1:10" ht="32.1" customHeight="1" x14ac:dyDescent="0.2">
      <c r="A66" s="72">
        <v>62</v>
      </c>
      <c r="B66" s="73">
        <v>46273</v>
      </c>
      <c r="C66" s="83" t="s">
        <v>104</v>
      </c>
      <c r="D66" s="61" t="s">
        <v>688</v>
      </c>
      <c r="E66" s="61" t="s">
        <v>531</v>
      </c>
      <c r="F66" s="61" t="s">
        <v>692</v>
      </c>
      <c r="G66" s="74" t="s">
        <v>693</v>
      </c>
      <c r="H66" s="74" t="s">
        <v>534</v>
      </c>
      <c r="I66" s="74" t="s">
        <v>535</v>
      </c>
      <c r="J66" s="75" t="s">
        <v>694</v>
      </c>
    </row>
    <row r="67" spans="1:10" ht="32.1" customHeight="1" x14ac:dyDescent="0.2">
      <c r="A67" s="72">
        <v>63</v>
      </c>
      <c r="B67" s="73">
        <v>46272</v>
      </c>
      <c r="C67" s="83" t="s">
        <v>104</v>
      </c>
      <c r="D67" s="61" t="s">
        <v>688</v>
      </c>
      <c r="E67" s="61" t="s">
        <v>531</v>
      </c>
      <c r="F67" s="61" t="s">
        <v>695</v>
      </c>
      <c r="G67" s="74" t="s">
        <v>696</v>
      </c>
      <c r="H67" s="74" t="s">
        <v>534</v>
      </c>
      <c r="I67" s="74" t="s">
        <v>535</v>
      </c>
      <c r="J67" s="75" t="s">
        <v>697</v>
      </c>
    </row>
    <row r="68" spans="1:10" ht="32.1" customHeight="1" x14ac:dyDescent="0.2">
      <c r="A68" s="72">
        <v>64</v>
      </c>
      <c r="B68" s="73">
        <v>46272</v>
      </c>
      <c r="C68" s="83" t="s">
        <v>104</v>
      </c>
      <c r="D68" s="61" t="s">
        <v>688</v>
      </c>
      <c r="E68" s="61" t="s">
        <v>531</v>
      </c>
      <c r="F68" s="61" t="s">
        <v>698</v>
      </c>
      <c r="G68" s="74" t="s">
        <v>699</v>
      </c>
      <c r="H68" s="74" t="s">
        <v>534</v>
      </c>
      <c r="I68" s="74" t="s">
        <v>535</v>
      </c>
      <c r="J68" s="75" t="s">
        <v>700</v>
      </c>
    </row>
    <row r="69" spans="1:10" ht="32.1" customHeight="1" x14ac:dyDescent="0.2">
      <c r="A69" s="72">
        <v>65</v>
      </c>
      <c r="B69" s="73">
        <v>46272</v>
      </c>
      <c r="C69" s="83" t="s">
        <v>104</v>
      </c>
      <c r="D69" s="61" t="s">
        <v>688</v>
      </c>
      <c r="E69" s="61" t="s">
        <v>531</v>
      </c>
      <c r="F69" s="61" t="s">
        <v>701</v>
      </c>
      <c r="G69" s="74" t="s">
        <v>702</v>
      </c>
      <c r="H69" s="74" t="s">
        <v>534</v>
      </c>
      <c r="I69" s="74" t="s">
        <v>535</v>
      </c>
      <c r="J69" s="75" t="s">
        <v>703</v>
      </c>
    </row>
    <row r="70" spans="1:10" ht="32.1" customHeight="1" x14ac:dyDescent="0.2">
      <c r="A70" s="76">
        <v>66</v>
      </c>
      <c r="B70" s="77">
        <v>46260</v>
      </c>
      <c r="C70" s="82" t="s">
        <v>104</v>
      </c>
      <c r="D70" s="67" t="s">
        <v>688</v>
      </c>
      <c r="E70" s="67" t="s">
        <v>531</v>
      </c>
      <c r="F70" s="67" t="s">
        <v>704</v>
      </c>
      <c r="G70" s="78" t="s">
        <v>705</v>
      </c>
      <c r="H70" s="78" t="s">
        <v>534</v>
      </c>
      <c r="I70" s="78" t="s">
        <v>535</v>
      </c>
      <c r="J70" s="79" t="s">
        <v>706</v>
      </c>
    </row>
    <row r="72" spans="1:10" ht="38.1" customHeight="1" x14ac:dyDescent="0.2">
      <c r="A72" s="156" t="s">
        <v>707</v>
      </c>
      <c r="B72" s="156"/>
      <c r="C72" s="156"/>
      <c r="D72" s="156"/>
      <c r="E72" s="156"/>
      <c r="F72" s="156"/>
      <c r="G72" s="156"/>
      <c r="H72" s="156"/>
      <c r="I72" s="156"/>
      <c r="J72" s="156"/>
    </row>
  </sheetData>
  <mergeCells count="3">
    <mergeCell ref="A1:J1"/>
    <mergeCell ref="A2:J2"/>
    <mergeCell ref="A72:J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23.9453125" customWidth="1"/>
    <col min="3" max="3" width="32.015625" customWidth="1"/>
    <col min="4" max="4" width="52.05859375" customWidth="1"/>
    <col min="5" max="5" width="16.0078125" customWidth="1"/>
    <col min="6" max="6" width="43.98828125" customWidth="1"/>
    <col min="7" max="7" width="13.98828125" customWidth="1"/>
    <col min="8" max="8" width="36.05078125" customWidth="1"/>
  </cols>
  <sheetData>
    <row r="1" spans="1:8" ht="30" customHeight="1" x14ac:dyDescent="0.2">
      <c r="A1" s="147" t="s">
        <v>708</v>
      </c>
      <c r="B1" s="147"/>
      <c r="C1" s="147"/>
      <c r="D1" s="147"/>
      <c r="E1" s="147"/>
      <c r="F1" s="147"/>
      <c r="G1" s="147"/>
      <c r="H1" s="147"/>
    </row>
    <row r="2" spans="1:8" ht="32.1" customHeight="1" x14ac:dyDescent="0.2">
      <c r="A2" s="155" t="s">
        <v>709</v>
      </c>
      <c r="B2" s="155"/>
      <c r="C2" s="155"/>
      <c r="D2" s="155"/>
      <c r="E2" s="155"/>
      <c r="F2" s="155"/>
      <c r="G2" s="155"/>
      <c r="H2" s="155"/>
    </row>
    <row r="4" spans="1:8" ht="33.950000000000003" customHeight="1" x14ac:dyDescent="0.2">
      <c r="A4" s="28" t="s">
        <v>16</v>
      </c>
      <c r="B4" s="29" t="s">
        <v>710</v>
      </c>
      <c r="C4" s="29" t="s">
        <v>711</v>
      </c>
      <c r="D4" s="29" t="s">
        <v>712</v>
      </c>
      <c r="E4" s="29" t="s">
        <v>191</v>
      </c>
      <c r="F4" s="29" t="s">
        <v>713</v>
      </c>
      <c r="G4" s="29" t="s">
        <v>714</v>
      </c>
      <c r="H4" s="30" t="s">
        <v>715</v>
      </c>
    </row>
    <row r="5" spans="1:8" ht="38.1" customHeight="1" x14ac:dyDescent="0.2">
      <c r="A5" s="72">
        <v>1</v>
      </c>
      <c r="B5" s="74" t="s">
        <v>716</v>
      </c>
      <c r="C5" s="61" t="s">
        <v>717</v>
      </c>
      <c r="D5" s="61" t="s">
        <v>718</v>
      </c>
      <c r="E5" s="81" t="s">
        <v>719</v>
      </c>
      <c r="F5" s="74" t="s">
        <v>720</v>
      </c>
      <c r="G5" s="74" t="s">
        <v>90</v>
      </c>
      <c r="H5" s="75" t="s">
        <v>721</v>
      </c>
    </row>
    <row r="6" spans="1:8" ht="38.1" customHeight="1" x14ac:dyDescent="0.2">
      <c r="A6" s="72">
        <v>2</v>
      </c>
      <c r="B6" s="74" t="s">
        <v>722</v>
      </c>
      <c r="C6" s="61" t="s">
        <v>723</v>
      </c>
      <c r="D6" s="61" t="s">
        <v>724</v>
      </c>
      <c r="E6" s="81" t="s">
        <v>719</v>
      </c>
      <c r="F6" s="74" t="s">
        <v>725</v>
      </c>
      <c r="G6" s="74" t="s">
        <v>90</v>
      </c>
      <c r="H6" s="75" t="s">
        <v>721</v>
      </c>
    </row>
    <row r="7" spans="1:8" ht="38.1" customHeight="1" x14ac:dyDescent="0.2">
      <c r="A7" s="72">
        <v>3</v>
      </c>
      <c r="B7" s="74" t="s">
        <v>726</v>
      </c>
      <c r="C7" s="61" t="s">
        <v>727</v>
      </c>
      <c r="D7" s="61" t="s">
        <v>728</v>
      </c>
      <c r="E7" s="81" t="s">
        <v>719</v>
      </c>
      <c r="F7" s="74" t="s">
        <v>729</v>
      </c>
      <c r="G7" s="74" t="s">
        <v>730</v>
      </c>
      <c r="H7" s="75" t="s">
        <v>721</v>
      </c>
    </row>
    <row r="8" spans="1:8" ht="38.1" customHeight="1" x14ac:dyDescent="0.2">
      <c r="A8" s="72">
        <v>4</v>
      </c>
      <c r="B8" s="74" t="s">
        <v>731</v>
      </c>
      <c r="C8" s="61" t="s">
        <v>732</v>
      </c>
      <c r="D8" s="61" t="s">
        <v>733</v>
      </c>
      <c r="E8" s="84" t="s">
        <v>734</v>
      </c>
      <c r="F8" s="74" t="s">
        <v>735</v>
      </c>
      <c r="G8" s="74" t="s">
        <v>736</v>
      </c>
      <c r="H8" s="75" t="s">
        <v>721</v>
      </c>
    </row>
    <row r="9" spans="1:8" ht="38.1" customHeight="1" x14ac:dyDescent="0.2">
      <c r="A9" s="72">
        <v>5</v>
      </c>
      <c r="B9" s="74" t="s">
        <v>737</v>
      </c>
      <c r="C9" s="61" t="s">
        <v>732</v>
      </c>
      <c r="D9" s="61" t="s">
        <v>719</v>
      </c>
      <c r="E9" s="81" t="s">
        <v>719</v>
      </c>
      <c r="F9" s="74" t="s">
        <v>738</v>
      </c>
      <c r="G9" s="74" t="s">
        <v>90</v>
      </c>
      <c r="H9" s="75" t="s">
        <v>721</v>
      </c>
    </row>
    <row r="10" spans="1:8" ht="38.1" customHeight="1" x14ac:dyDescent="0.2">
      <c r="A10" s="72">
        <v>6</v>
      </c>
      <c r="B10" s="74" t="s">
        <v>739</v>
      </c>
      <c r="C10" s="61" t="s">
        <v>740</v>
      </c>
      <c r="D10" s="61" t="s">
        <v>741</v>
      </c>
      <c r="E10" s="81" t="s">
        <v>719</v>
      </c>
      <c r="F10" s="74" t="s">
        <v>742</v>
      </c>
      <c r="G10" s="74" t="s">
        <v>743</v>
      </c>
      <c r="H10" s="75" t="s">
        <v>721</v>
      </c>
    </row>
    <row r="11" spans="1:8" ht="38.1" customHeight="1" x14ac:dyDescent="0.2">
      <c r="A11" s="72">
        <v>7</v>
      </c>
      <c r="B11" s="74" t="s">
        <v>744</v>
      </c>
      <c r="C11" s="61" t="s">
        <v>745</v>
      </c>
      <c r="D11" s="61" t="s">
        <v>746</v>
      </c>
      <c r="E11" s="81" t="s">
        <v>719</v>
      </c>
      <c r="F11" s="74" t="s">
        <v>747</v>
      </c>
      <c r="G11" s="74" t="s">
        <v>90</v>
      </c>
      <c r="H11" s="75" t="s">
        <v>721</v>
      </c>
    </row>
    <row r="12" spans="1:8" ht="38.1" customHeight="1" x14ac:dyDescent="0.2">
      <c r="A12" s="72">
        <v>8</v>
      </c>
      <c r="B12" s="74" t="s">
        <v>748</v>
      </c>
      <c r="C12" s="61" t="s">
        <v>749</v>
      </c>
      <c r="D12" s="61" t="s">
        <v>750</v>
      </c>
      <c r="E12" s="81" t="s">
        <v>719</v>
      </c>
      <c r="F12" s="74" t="s">
        <v>751</v>
      </c>
      <c r="G12" s="74" t="s">
        <v>752</v>
      </c>
      <c r="H12" s="75" t="s">
        <v>721</v>
      </c>
    </row>
    <row r="13" spans="1:8" ht="38.1" customHeight="1" x14ac:dyDescent="0.2">
      <c r="A13" s="72">
        <v>9</v>
      </c>
      <c r="B13" s="74" t="s">
        <v>753</v>
      </c>
      <c r="C13" s="61" t="s">
        <v>754</v>
      </c>
      <c r="D13" s="61" t="s">
        <v>755</v>
      </c>
      <c r="E13" s="81" t="s">
        <v>719</v>
      </c>
      <c r="F13" s="74" t="s">
        <v>756</v>
      </c>
      <c r="G13" s="74" t="s">
        <v>90</v>
      </c>
      <c r="H13" s="75" t="s">
        <v>721</v>
      </c>
    </row>
    <row r="14" spans="1:8" ht="38.1" customHeight="1" x14ac:dyDescent="0.2">
      <c r="A14" s="72">
        <v>10</v>
      </c>
      <c r="B14" s="74" t="s">
        <v>757</v>
      </c>
      <c r="C14" s="61" t="s">
        <v>758</v>
      </c>
      <c r="D14" s="61" t="s">
        <v>759</v>
      </c>
      <c r="E14" s="81" t="s">
        <v>719</v>
      </c>
      <c r="F14" s="74" t="s">
        <v>760</v>
      </c>
      <c r="G14" s="74" t="s">
        <v>90</v>
      </c>
      <c r="H14" s="75" t="s">
        <v>721</v>
      </c>
    </row>
    <row r="15" spans="1:8" ht="38.1" customHeight="1" x14ac:dyDescent="0.2">
      <c r="A15" s="72">
        <v>11</v>
      </c>
      <c r="B15" s="74" t="s">
        <v>761</v>
      </c>
      <c r="C15" s="61" t="s">
        <v>762</v>
      </c>
      <c r="D15" s="61" t="s">
        <v>763</v>
      </c>
      <c r="E15" s="81" t="s">
        <v>719</v>
      </c>
      <c r="F15" s="74" t="s">
        <v>764</v>
      </c>
      <c r="G15" s="74" t="s">
        <v>90</v>
      </c>
      <c r="H15" s="75" t="s">
        <v>721</v>
      </c>
    </row>
    <row r="16" spans="1:8" ht="38.1" customHeight="1" x14ac:dyDescent="0.2">
      <c r="A16" s="72">
        <v>12</v>
      </c>
      <c r="B16" s="74" t="s">
        <v>765</v>
      </c>
      <c r="C16" s="61" t="s">
        <v>766</v>
      </c>
      <c r="D16" s="61" t="s">
        <v>767</v>
      </c>
      <c r="E16" s="85" t="s">
        <v>768</v>
      </c>
      <c r="F16" s="74" t="s">
        <v>769</v>
      </c>
      <c r="G16" s="74" t="s">
        <v>770</v>
      </c>
      <c r="H16" s="75" t="s">
        <v>311</v>
      </c>
    </row>
    <row r="17" spans="1:8" ht="38.1" customHeight="1" x14ac:dyDescent="0.2">
      <c r="A17" s="72">
        <v>13</v>
      </c>
      <c r="B17" s="74" t="s">
        <v>771</v>
      </c>
      <c r="C17" s="61" t="s">
        <v>772</v>
      </c>
      <c r="D17" s="61" t="s">
        <v>773</v>
      </c>
      <c r="E17" s="85" t="s">
        <v>768</v>
      </c>
      <c r="F17" s="74" t="s">
        <v>774</v>
      </c>
      <c r="G17" s="74" t="s">
        <v>775</v>
      </c>
      <c r="H17" s="75" t="s">
        <v>311</v>
      </c>
    </row>
    <row r="18" spans="1:8" ht="38.1" customHeight="1" x14ac:dyDescent="0.2">
      <c r="A18" s="72">
        <v>14</v>
      </c>
      <c r="B18" s="74" t="s">
        <v>776</v>
      </c>
      <c r="C18" s="61" t="s">
        <v>777</v>
      </c>
      <c r="D18" s="61" t="s">
        <v>778</v>
      </c>
      <c r="E18" s="85" t="s">
        <v>768</v>
      </c>
      <c r="F18" s="74" t="s">
        <v>779</v>
      </c>
      <c r="G18" s="74" t="s">
        <v>780</v>
      </c>
      <c r="H18" s="75" t="s">
        <v>311</v>
      </c>
    </row>
    <row r="19" spans="1:8" ht="38.1" customHeight="1" x14ac:dyDescent="0.2">
      <c r="A19" s="72">
        <v>15</v>
      </c>
      <c r="B19" s="74" t="s">
        <v>781</v>
      </c>
      <c r="C19" s="61" t="s">
        <v>782</v>
      </c>
      <c r="D19" s="61" t="s">
        <v>783</v>
      </c>
      <c r="E19" s="83" t="s">
        <v>784</v>
      </c>
      <c r="F19" s="74" t="s">
        <v>785</v>
      </c>
      <c r="G19" s="74" t="s">
        <v>786</v>
      </c>
      <c r="H19" s="75" t="s">
        <v>311</v>
      </c>
    </row>
    <row r="20" spans="1:8" ht="38.1" customHeight="1" x14ac:dyDescent="0.2">
      <c r="A20" s="72">
        <v>16</v>
      </c>
      <c r="B20" s="74" t="s">
        <v>787</v>
      </c>
      <c r="C20" s="61" t="s">
        <v>788</v>
      </c>
      <c r="D20" s="61" t="s">
        <v>789</v>
      </c>
      <c r="E20" s="83" t="s">
        <v>784</v>
      </c>
      <c r="F20" s="74" t="s">
        <v>790</v>
      </c>
      <c r="G20" s="74" t="s">
        <v>736</v>
      </c>
      <c r="H20" s="75" t="s">
        <v>311</v>
      </c>
    </row>
    <row r="21" spans="1:8" ht="38.1" customHeight="1" x14ac:dyDescent="0.2">
      <c r="A21" s="76">
        <v>17</v>
      </c>
      <c r="B21" s="78" t="s">
        <v>791</v>
      </c>
      <c r="C21" s="67" t="s">
        <v>792</v>
      </c>
      <c r="D21" s="67" t="s">
        <v>793</v>
      </c>
      <c r="E21" s="82" t="s">
        <v>794</v>
      </c>
      <c r="F21" s="78" t="s">
        <v>795</v>
      </c>
      <c r="G21" s="78" t="s">
        <v>90</v>
      </c>
      <c r="H21" s="79" t="s">
        <v>796</v>
      </c>
    </row>
    <row r="25" spans="1:8" x14ac:dyDescent="0.2">
      <c r="A25" s="157" t="s">
        <v>797</v>
      </c>
      <c r="B25" s="157"/>
      <c r="C25" s="157"/>
      <c r="D25" s="157"/>
      <c r="E25" s="157"/>
      <c r="F25" s="157"/>
      <c r="G25" s="157"/>
      <c r="H25" s="157"/>
    </row>
    <row r="26" spans="1:8" ht="19.5" x14ac:dyDescent="0.2">
      <c r="A26" s="86" t="s">
        <v>16</v>
      </c>
      <c r="B26" s="87" t="s">
        <v>798</v>
      </c>
      <c r="C26" s="87" t="s">
        <v>799</v>
      </c>
      <c r="D26" s="87" t="s">
        <v>800</v>
      </c>
      <c r="E26" s="87" t="s">
        <v>714</v>
      </c>
      <c r="F26" s="88" t="s">
        <v>801</v>
      </c>
    </row>
    <row r="27" spans="1:8" ht="38.1" customHeight="1" x14ac:dyDescent="0.2">
      <c r="A27" s="72">
        <v>1</v>
      </c>
      <c r="B27" s="74" t="s">
        <v>802</v>
      </c>
      <c r="C27" s="74" t="s">
        <v>803</v>
      </c>
      <c r="D27" s="74" t="s">
        <v>804</v>
      </c>
      <c r="E27" s="74" t="s">
        <v>805</v>
      </c>
      <c r="F27" s="89" t="s">
        <v>294</v>
      </c>
    </row>
    <row r="28" spans="1:8" ht="38.1" customHeight="1" x14ac:dyDescent="0.2">
      <c r="A28" s="72">
        <v>2</v>
      </c>
      <c r="B28" s="74" t="s">
        <v>806</v>
      </c>
      <c r="C28" s="74" t="s">
        <v>807</v>
      </c>
      <c r="D28" s="74" t="s">
        <v>808</v>
      </c>
      <c r="E28" s="74" t="s">
        <v>770</v>
      </c>
      <c r="F28" s="89" t="s">
        <v>294</v>
      </c>
    </row>
    <row r="29" spans="1:8" ht="38.1" customHeight="1" x14ac:dyDescent="0.2">
      <c r="A29" s="72">
        <v>3</v>
      </c>
      <c r="B29" s="74" t="s">
        <v>809</v>
      </c>
      <c r="C29" s="74" t="s">
        <v>810</v>
      </c>
      <c r="D29" s="74" t="s">
        <v>811</v>
      </c>
      <c r="E29" s="74" t="s">
        <v>775</v>
      </c>
      <c r="F29" s="89" t="s">
        <v>294</v>
      </c>
    </row>
    <row r="30" spans="1:8" ht="38.1" customHeight="1" x14ac:dyDescent="0.2">
      <c r="A30" s="72">
        <v>4</v>
      </c>
      <c r="B30" s="74" t="s">
        <v>812</v>
      </c>
      <c r="C30" s="74" t="s">
        <v>813</v>
      </c>
      <c r="D30" s="74" t="s">
        <v>814</v>
      </c>
      <c r="E30" s="74" t="s">
        <v>780</v>
      </c>
      <c r="F30" s="89" t="s">
        <v>294</v>
      </c>
    </row>
    <row r="31" spans="1:8" ht="38.1" customHeight="1" x14ac:dyDescent="0.2">
      <c r="A31" s="76">
        <v>5</v>
      </c>
      <c r="B31" s="78" t="s">
        <v>815</v>
      </c>
      <c r="C31" s="78" t="s">
        <v>816</v>
      </c>
      <c r="D31" s="78" t="s">
        <v>817</v>
      </c>
      <c r="E31" s="78" t="s">
        <v>736</v>
      </c>
      <c r="F31" s="90" t="s">
        <v>294</v>
      </c>
    </row>
  </sheetData>
  <mergeCells count="3">
    <mergeCell ref="A1:H1"/>
    <mergeCell ref="A2:H2"/>
    <mergeCell ref="A25:H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20.04296875" customWidth="1"/>
    <col min="3" max="3" width="18.96484375" customWidth="1"/>
    <col min="4" max="4" width="30.9375" customWidth="1"/>
    <col min="5" max="5" width="29.99609375" customWidth="1"/>
    <col min="6" max="6" width="39.953125" customWidth="1"/>
    <col min="7" max="7" width="30.9375" customWidth="1"/>
    <col min="8" max="8" width="9.953125" customWidth="1"/>
    <col min="9" max="9" width="13.046875" customWidth="1"/>
    <col min="10" max="10" width="18.0234375" customWidth="1"/>
  </cols>
  <sheetData>
    <row r="1" spans="1:10" ht="33.950000000000003" customHeight="1" x14ac:dyDescent="0.2">
      <c r="A1" s="159" t="s">
        <v>818</v>
      </c>
      <c r="B1" s="159"/>
      <c r="C1" s="159"/>
      <c r="D1" s="159"/>
      <c r="E1" s="159"/>
      <c r="F1" s="159"/>
      <c r="G1" s="159"/>
      <c r="H1" s="159"/>
      <c r="I1" s="159"/>
      <c r="J1" s="159"/>
    </row>
    <row r="2" spans="1:10" ht="26.1" customHeight="1" x14ac:dyDescent="0.2">
      <c r="A2" s="160" t="s">
        <v>819</v>
      </c>
      <c r="B2" s="160"/>
      <c r="C2" s="160"/>
      <c r="D2" s="160"/>
      <c r="E2" s="160"/>
      <c r="F2" s="160"/>
      <c r="G2" s="160"/>
      <c r="H2" s="160"/>
      <c r="I2" s="160"/>
      <c r="J2" s="160"/>
    </row>
    <row r="3" spans="1:10" ht="27.95" customHeight="1" x14ac:dyDescent="0.2">
      <c r="A3" s="161" t="s">
        <v>820</v>
      </c>
      <c r="B3" s="161"/>
      <c r="C3" s="161"/>
      <c r="D3" s="161"/>
      <c r="E3" s="161"/>
      <c r="F3" s="161"/>
      <c r="G3" s="161"/>
      <c r="H3" s="161"/>
      <c r="I3" s="161"/>
      <c r="J3" s="161"/>
    </row>
    <row r="5" spans="1:10" ht="33.950000000000003" customHeight="1" x14ac:dyDescent="0.2">
      <c r="A5" s="92" t="s">
        <v>16</v>
      </c>
      <c r="B5" s="92" t="s">
        <v>492</v>
      </c>
      <c r="C5" s="92" t="s">
        <v>98</v>
      </c>
      <c r="D5" s="92" t="s">
        <v>821</v>
      </c>
      <c r="E5" s="92" t="s">
        <v>822</v>
      </c>
      <c r="F5" s="92" t="s">
        <v>823</v>
      </c>
      <c r="G5" s="92" t="s">
        <v>85</v>
      </c>
      <c r="H5" s="92" t="s">
        <v>824</v>
      </c>
      <c r="I5" s="92" t="s">
        <v>825</v>
      </c>
      <c r="J5" s="92" t="s">
        <v>89</v>
      </c>
    </row>
    <row r="6" spans="1:10" ht="81.95" customHeight="1" x14ac:dyDescent="0.2">
      <c r="A6" s="96">
        <v>1</v>
      </c>
      <c r="B6" s="93" t="s">
        <v>826</v>
      </c>
      <c r="C6" s="93" t="s">
        <v>106</v>
      </c>
      <c r="D6" s="93" t="s">
        <v>363</v>
      </c>
      <c r="E6" s="93" t="s">
        <v>827</v>
      </c>
      <c r="F6" s="93" t="s">
        <v>828</v>
      </c>
      <c r="G6" s="93" t="s">
        <v>829</v>
      </c>
      <c r="H6" s="99" t="s">
        <v>296</v>
      </c>
      <c r="I6" s="99" t="s">
        <v>201</v>
      </c>
      <c r="J6" s="100">
        <v>46278</v>
      </c>
    </row>
    <row r="7" spans="1:10" ht="81.95" customHeight="1" x14ac:dyDescent="0.2">
      <c r="A7" s="97">
        <v>2</v>
      </c>
      <c r="B7" s="94" t="s">
        <v>830</v>
      </c>
      <c r="C7" s="94" t="s">
        <v>106</v>
      </c>
      <c r="D7" s="94" t="s">
        <v>831</v>
      </c>
      <c r="E7" s="94" t="s">
        <v>832</v>
      </c>
      <c r="F7" s="94" t="s">
        <v>833</v>
      </c>
      <c r="G7" s="94" t="s">
        <v>834</v>
      </c>
      <c r="H7" s="101" t="s">
        <v>296</v>
      </c>
      <c r="I7" s="101" t="s">
        <v>201</v>
      </c>
      <c r="J7" s="102">
        <v>46278</v>
      </c>
    </row>
    <row r="8" spans="1:10" ht="81.95" customHeight="1" x14ac:dyDescent="0.2">
      <c r="A8" s="97">
        <v>3</v>
      </c>
      <c r="B8" s="94" t="s">
        <v>835</v>
      </c>
      <c r="C8" s="94" t="s">
        <v>110</v>
      </c>
      <c r="D8" s="94" t="s">
        <v>836</v>
      </c>
      <c r="E8" s="94" t="s">
        <v>837</v>
      </c>
      <c r="F8" s="94" t="s">
        <v>838</v>
      </c>
      <c r="G8" s="94" t="s">
        <v>839</v>
      </c>
      <c r="H8" s="101" t="s">
        <v>296</v>
      </c>
      <c r="I8" s="101" t="s">
        <v>201</v>
      </c>
      <c r="J8" s="102">
        <v>46278</v>
      </c>
    </row>
    <row r="9" spans="1:10" ht="81.95" customHeight="1" x14ac:dyDescent="0.2">
      <c r="A9" s="97">
        <v>4</v>
      </c>
      <c r="B9" s="94" t="s">
        <v>840</v>
      </c>
      <c r="C9" s="94" t="s">
        <v>114</v>
      </c>
      <c r="D9" s="94" t="s">
        <v>376</v>
      </c>
      <c r="E9" s="94" t="s">
        <v>841</v>
      </c>
      <c r="F9" s="94" t="s">
        <v>842</v>
      </c>
      <c r="G9" s="94" t="s">
        <v>843</v>
      </c>
      <c r="H9" s="101" t="s">
        <v>296</v>
      </c>
      <c r="I9" s="101" t="s">
        <v>201</v>
      </c>
      <c r="J9" s="102">
        <v>46278</v>
      </c>
    </row>
    <row r="10" spans="1:10" ht="81.95" customHeight="1" x14ac:dyDescent="0.2">
      <c r="A10" s="98">
        <v>5</v>
      </c>
      <c r="B10" s="95" t="s">
        <v>844</v>
      </c>
      <c r="C10" s="95" t="s">
        <v>114</v>
      </c>
      <c r="D10" s="95" t="s">
        <v>379</v>
      </c>
      <c r="E10" s="95" t="s">
        <v>845</v>
      </c>
      <c r="F10" s="95" t="s">
        <v>846</v>
      </c>
      <c r="G10" s="95" t="s">
        <v>847</v>
      </c>
      <c r="H10" s="103" t="s">
        <v>296</v>
      </c>
      <c r="I10" s="103" t="s">
        <v>201</v>
      </c>
      <c r="J10" s="104">
        <v>46278</v>
      </c>
    </row>
    <row r="12" spans="1:10" ht="27.95" customHeight="1" x14ac:dyDescent="0.2">
      <c r="A12" s="162" t="s">
        <v>848</v>
      </c>
      <c r="B12" s="162"/>
      <c r="C12" s="162"/>
      <c r="D12" s="162"/>
      <c r="E12" s="162"/>
      <c r="F12" s="162"/>
      <c r="G12" s="162"/>
      <c r="H12" s="162"/>
      <c r="I12" s="162"/>
      <c r="J12" s="162"/>
    </row>
    <row r="13" spans="1:10" ht="33.950000000000003" customHeight="1" x14ac:dyDescent="0.2">
      <c r="A13" s="105" t="s">
        <v>849</v>
      </c>
      <c r="B13" s="158" t="s">
        <v>850</v>
      </c>
      <c r="C13" s="158"/>
      <c r="D13" s="158"/>
      <c r="E13" s="158"/>
      <c r="F13" s="158"/>
      <c r="G13" s="158"/>
      <c r="H13" s="158"/>
      <c r="I13" s="158"/>
      <c r="J13" s="158"/>
    </row>
    <row r="14" spans="1:10" ht="33.950000000000003" customHeight="1" x14ac:dyDescent="0.2">
      <c r="A14" s="105" t="s">
        <v>851</v>
      </c>
      <c r="B14" s="158" t="s">
        <v>852</v>
      </c>
      <c r="C14" s="158"/>
      <c r="D14" s="158"/>
      <c r="E14" s="158"/>
      <c r="F14" s="158"/>
      <c r="G14" s="158"/>
      <c r="H14" s="158"/>
      <c r="I14" s="158"/>
      <c r="J14" s="158"/>
    </row>
    <row r="15" spans="1:10" ht="33.950000000000003" customHeight="1" x14ac:dyDescent="0.2">
      <c r="A15" s="105" t="s">
        <v>853</v>
      </c>
      <c r="B15" s="158" t="s">
        <v>854</v>
      </c>
      <c r="C15" s="158"/>
      <c r="D15" s="158"/>
      <c r="E15" s="158"/>
      <c r="F15" s="158"/>
      <c r="G15" s="158"/>
      <c r="H15" s="158"/>
      <c r="I15" s="158"/>
      <c r="J15" s="158"/>
    </row>
    <row r="16" spans="1:10" ht="33.950000000000003" customHeight="1" x14ac:dyDescent="0.2">
      <c r="A16" s="105" t="s">
        <v>855</v>
      </c>
      <c r="B16" s="158" t="s">
        <v>856</v>
      </c>
      <c r="C16" s="158"/>
      <c r="D16" s="158"/>
      <c r="E16" s="158"/>
      <c r="F16" s="158"/>
      <c r="G16" s="158"/>
      <c r="H16" s="158"/>
      <c r="I16" s="158"/>
      <c r="J16" s="158"/>
    </row>
    <row r="17" spans="1:10" ht="33.950000000000003" customHeight="1" x14ac:dyDescent="0.2">
      <c r="A17" s="105" t="s">
        <v>857</v>
      </c>
      <c r="B17" s="158" t="s">
        <v>858</v>
      </c>
      <c r="C17" s="158"/>
      <c r="D17" s="158"/>
      <c r="E17" s="158"/>
      <c r="F17" s="158"/>
      <c r="G17" s="158"/>
      <c r="H17" s="158"/>
      <c r="I17" s="158"/>
      <c r="J17" s="158"/>
    </row>
  </sheetData>
  <mergeCells count="9">
    <mergeCell ref="B14:J14"/>
    <mergeCell ref="B15:J15"/>
    <mergeCell ref="B16:J16"/>
    <mergeCell ref="B17:J17"/>
    <mergeCell ref="A1:J1"/>
    <mergeCell ref="A2:J2"/>
    <mergeCell ref="A3:J3"/>
    <mergeCell ref="A12:J12"/>
    <mergeCell ref="B13:J13"/>
  </mergeCells>
  <conditionalFormatting sqref="I6:I10">
    <cfRule type="expression" dxfId="7" priority="1">
      <formula>I6="បានបញ្ចប់"</formula>
    </cfRule>
    <cfRule type="expression" dxfId="6" priority="2">
      <formula>I6="កំពុងធ្វើ"</formula>
    </cfRule>
    <cfRule type="expression" dxfId="5" priority="3">
      <formula>I6="មិនទាន់មាន Evidence"</formula>
    </cfRule>
  </conditionalFormatting>
  <dataValidations count="1">
    <dataValidation type="list" sqref="I6:I10" xr:uid="{00000000-0002-0000-0700-000000000000}">
      <formula1>"គ្រោង,កំពុងធ្វើ,រង់ចាំ Review,បានបញ្ចប់,ជាប់គាំង,មិនទាន់មាន Evidence"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zoomScaleNormal="100" zoomScaleSheetLayoutView="100" workbookViewId="0"/>
  </sheetViews>
  <sheetFormatPr defaultRowHeight="15" x14ac:dyDescent="0.2"/>
  <cols>
    <col min="1" max="1" width="6.05078125" customWidth="1"/>
    <col min="2" max="2" width="20.04296875" customWidth="1"/>
    <col min="3" max="3" width="18.0234375" customWidth="1"/>
    <col min="4" max="4" width="37.93359375" customWidth="1"/>
    <col min="5" max="5" width="29.99609375" customWidth="1"/>
    <col min="6" max="6" width="39.953125" customWidth="1"/>
    <col min="7" max="7" width="30.9375" customWidth="1"/>
    <col min="8" max="8" width="9.953125" customWidth="1"/>
    <col min="9" max="9" width="14.9296875" customWidth="1"/>
    <col min="10" max="10" width="16.94921875" customWidth="1"/>
  </cols>
  <sheetData>
    <row r="1" spans="1:10" ht="33.950000000000003" customHeight="1" x14ac:dyDescent="0.2">
      <c r="A1" s="169" t="s">
        <v>887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ht="26.1" customHeight="1" x14ac:dyDescent="0.2">
      <c r="A2" s="170" t="s">
        <v>819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0" ht="24" customHeight="1" x14ac:dyDescent="0.2">
      <c r="A3" s="171" t="s">
        <v>888</v>
      </c>
      <c r="B3" s="171"/>
      <c r="C3" s="171"/>
      <c r="D3" s="171"/>
      <c r="E3" s="171"/>
      <c r="F3" s="171"/>
      <c r="G3" s="171"/>
      <c r="H3" s="171"/>
      <c r="I3" s="171"/>
      <c r="J3" s="171"/>
    </row>
    <row r="4" spans="1:10" ht="30" customHeight="1" x14ac:dyDescent="0.2">
      <c r="A4" s="172" t="s">
        <v>889</v>
      </c>
      <c r="B4" s="172"/>
      <c r="C4" s="172"/>
      <c r="D4" s="172"/>
      <c r="E4" s="172"/>
      <c r="F4" s="172"/>
      <c r="G4" s="172"/>
      <c r="H4" s="172"/>
      <c r="I4" s="172"/>
      <c r="J4" s="172"/>
    </row>
    <row r="5" spans="1:10" ht="30.95" customHeight="1" x14ac:dyDescent="0.2">
      <c r="A5" s="108" t="s">
        <v>16</v>
      </c>
      <c r="B5" s="108" t="s">
        <v>492</v>
      </c>
      <c r="C5" s="108" t="s">
        <v>98</v>
      </c>
      <c r="D5" s="108" t="s">
        <v>890</v>
      </c>
      <c r="E5" s="108" t="s">
        <v>822</v>
      </c>
      <c r="F5" s="108" t="s">
        <v>823</v>
      </c>
      <c r="G5" s="108" t="s">
        <v>85</v>
      </c>
      <c r="H5" s="108" t="s">
        <v>824</v>
      </c>
      <c r="I5" s="108" t="s">
        <v>825</v>
      </c>
      <c r="J5" s="108" t="s">
        <v>89</v>
      </c>
    </row>
    <row r="6" spans="1:10" ht="111.95" customHeight="1" x14ac:dyDescent="0.2">
      <c r="A6" s="111">
        <v>1</v>
      </c>
      <c r="B6" s="112" t="s">
        <v>826</v>
      </c>
      <c r="C6" s="112" t="s">
        <v>106</v>
      </c>
      <c r="D6" s="112" t="s">
        <v>891</v>
      </c>
      <c r="E6" s="112" t="s">
        <v>892</v>
      </c>
      <c r="F6" s="112" t="s">
        <v>893</v>
      </c>
      <c r="G6" s="118" t="s">
        <v>894</v>
      </c>
      <c r="H6" s="113" t="s">
        <v>296</v>
      </c>
      <c r="I6" s="113" t="s">
        <v>304</v>
      </c>
      <c r="J6" s="121">
        <v>46285</v>
      </c>
    </row>
    <row r="7" spans="1:10" ht="111.95" customHeight="1" x14ac:dyDescent="0.2">
      <c r="A7" s="114">
        <v>2</v>
      </c>
      <c r="B7" s="110" t="s">
        <v>830</v>
      </c>
      <c r="C7" s="110" t="s">
        <v>106</v>
      </c>
      <c r="D7" s="110" t="s">
        <v>895</v>
      </c>
      <c r="E7" s="110" t="s">
        <v>896</v>
      </c>
      <c r="F7" s="110" t="s">
        <v>897</v>
      </c>
      <c r="G7" s="119" t="s">
        <v>898</v>
      </c>
      <c r="H7" s="109" t="s">
        <v>296</v>
      </c>
      <c r="I7" s="109" t="s">
        <v>304</v>
      </c>
      <c r="J7" s="122">
        <v>46285</v>
      </c>
    </row>
    <row r="8" spans="1:10" ht="111.95" customHeight="1" x14ac:dyDescent="0.2">
      <c r="A8" s="114">
        <v>3</v>
      </c>
      <c r="B8" s="110" t="s">
        <v>835</v>
      </c>
      <c r="C8" s="110" t="s">
        <v>110</v>
      </c>
      <c r="D8" s="110" t="s">
        <v>899</v>
      </c>
      <c r="E8" s="110" t="s">
        <v>900</v>
      </c>
      <c r="F8" s="110" t="s">
        <v>901</v>
      </c>
      <c r="G8" s="119" t="s">
        <v>902</v>
      </c>
      <c r="H8" s="109" t="s">
        <v>296</v>
      </c>
      <c r="I8" s="109" t="s">
        <v>304</v>
      </c>
      <c r="J8" s="122">
        <v>46285</v>
      </c>
    </row>
    <row r="9" spans="1:10" ht="111.95" customHeight="1" x14ac:dyDescent="0.2">
      <c r="A9" s="114">
        <v>4</v>
      </c>
      <c r="B9" s="110" t="s">
        <v>840</v>
      </c>
      <c r="C9" s="110" t="s">
        <v>114</v>
      </c>
      <c r="D9" s="110" t="s">
        <v>903</v>
      </c>
      <c r="E9" s="110" t="s">
        <v>904</v>
      </c>
      <c r="F9" s="110" t="s">
        <v>905</v>
      </c>
      <c r="G9" s="119" t="s">
        <v>906</v>
      </c>
      <c r="H9" s="109" t="s">
        <v>296</v>
      </c>
      <c r="I9" s="109" t="s">
        <v>304</v>
      </c>
      <c r="J9" s="122">
        <v>46285</v>
      </c>
    </row>
    <row r="10" spans="1:10" ht="111.95" customHeight="1" x14ac:dyDescent="0.2">
      <c r="A10" s="114">
        <v>5</v>
      </c>
      <c r="B10" s="110" t="s">
        <v>844</v>
      </c>
      <c r="C10" s="110" t="s">
        <v>114</v>
      </c>
      <c r="D10" s="110" t="s">
        <v>907</v>
      </c>
      <c r="E10" s="110" t="s">
        <v>908</v>
      </c>
      <c r="F10" s="110" t="s">
        <v>909</v>
      </c>
      <c r="G10" s="119" t="s">
        <v>910</v>
      </c>
      <c r="H10" s="109" t="s">
        <v>296</v>
      </c>
      <c r="I10" s="109" t="s">
        <v>304</v>
      </c>
      <c r="J10" s="122">
        <v>46285</v>
      </c>
    </row>
    <row r="11" spans="1:10" ht="111.95" customHeight="1" x14ac:dyDescent="0.2">
      <c r="A11" s="115">
        <v>6</v>
      </c>
      <c r="B11" s="116" t="s">
        <v>911</v>
      </c>
      <c r="C11" s="116" t="s">
        <v>912</v>
      </c>
      <c r="D11" s="116" t="s">
        <v>913</v>
      </c>
      <c r="E11" s="116" t="s">
        <v>914</v>
      </c>
      <c r="F11" s="116" t="s">
        <v>915</v>
      </c>
      <c r="G11" s="120" t="s">
        <v>916</v>
      </c>
      <c r="H11" s="117" t="s">
        <v>303</v>
      </c>
      <c r="I11" s="117" t="s">
        <v>304</v>
      </c>
      <c r="J11" s="123">
        <v>46285</v>
      </c>
    </row>
    <row r="12" spans="1:10" ht="12" customHeight="1" x14ac:dyDescent="0.2">
      <c r="A12" s="106"/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0" ht="27.95" customHeight="1" x14ac:dyDescent="0.2">
      <c r="A13" s="173" t="s">
        <v>917</v>
      </c>
      <c r="B13" s="173"/>
      <c r="C13" s="173"/>
      <c r="D13" s="173"/>
      <c r="E13" s="173"/>
      <c r="F13" s="173"/>
      <c r="G13" s="173"/>
      <c r="H13" s="173"/>
      <c r="I13" s="173"/>
      <c r="J13" s="173"/>
    </row>
    <row r="14" spans="1:10" ht="27.95" customHeight="1" x14ac:dyDescent="0.2">
      <c r="A14" s="124" t="s">
        <v>849</v>
      </c>
      <c r="B14" s="163" t="s">
        <v>918</v>
      </c>
      <c r="C14" s="163"/>
      <c r="D14" s="163"/>
      <c r="E14" s="163"/>
      <c r="F14" s="163"/>
      <c r="G14" s="163"/>
      <c r="H14" s="163"/>
      <c r="I14" s="163"/>
      <c r="J14" s="164"/>
    </row>
    <row r="15" spans="1:10" ht="27.95" customHeight="1" x14ac:dyDescent="0.2">
      <c r="A15" s="125" t="s">
        <v>851</v>
      </c>
      <c r="B15" s="165" t="s">
        <v>919</v>
      </c>
      <c r="C15" s="165"/>
      <c r="D15" s="165"/>
      <c r="E15" s="165"/>
      <c r="F15" s="165"/>
      <c r="G15" s="165"/>
      <c r="H15" s="165"/>
      <c r="I15" s="165"/>
      <c r="J15" s="166"/>
    </row>
    <row r="16" spans="1:10" ht="27.95" customHeight="1" x14ac:dyDescent="0.2">
      <c r="A16" s="125" t="s">
        <v>853</v>
      </c>
      <c r="B16" s="165" t="s">
        <v>920</v>
      </c>
      <c r="C16" s="165"/>
      <c r="D16" s="165"/>
      <c r="E16" s="165"/>
      <c r="F16" s="165"/>
      <c r="G16" s="165"/>
      <c r="H16" s="165"/>
      <c r="I16" s="165"/>
      <c r="J16" s="166"/>
    </row>
    <row r="17" spans="1:10" ht="27.95" customHeight="1" x14ac:dyDescent="0.2">
      <c r="A17" s="125" t="s">
        <v>855</v>
      </c>
      <c r="B17" s="165" t="s">
        <v>921</v>
      </c>
      <c r="C17" s="165"/>
      <c r="D17" s="165"/>
      <c r="E17" s="165"/>
      <c r="F17" s="165"/>
      <c r="G17" s="165"/>
      <c r="H17" s="165"/>
      <c r="I17" s="165"/>
      <c r="J17" s="166"/>
    </row>
    <row r="18" spans="1:10" ht="27.95" customHeight="1" x14ac:dyDescent="0.2">
      <c r="A18" s="126" t="s">
        <v>857</v>
      </c>
      <c r="B18" s="167" t="s">
        <v>922</v>
      </c>
      <c r="C18" s="167"/>
      <c r="D18" s="167"/>
      <c r="E18" s="167"/>
      <c r="F18" s="167"/>
      <c r="G18" s="167"/>
      <c r="H18" s="167"/>
      <c r="I18" s="167"/>
      <c r="J18" s="168"/>
    </row>
  </sheetData>
  <mergeCells count="10">
    <mergeCell ref="A1:J1"/>
    <mergeCell ref="A2:J2"/>
    <mergeCell ref="A3:J3"/>
    <mergeCell ref="A4:J4"/>
    <mergeCell ref="A13:J13"/>
    <mergeCell ref="B14:J14"/>
    <mergeCell ref="B15:J15"/>
    <mergeCell ref="B16:J16"/>
    <mergeCell ref="B17:J17"/>
    <mergeCell ref="B18:J18"/>
  </mergeCells>
  <conditionalFormatting sqref="I6:I11">
    <cfRule type="expression" dxfId="4" priority="1">
      <formula>I6="បានបញ្ចប់"</formula>
    </cfRule>
    <cfRule type="expression" dxfId="3" priority="2">
      <formula>I6="កំពុងធ្វើ"</formula>
    </cfRule>
    <cfRule type="expression" dxfId="2" priority="3">
      <formula>I6="រង់ចាំ Review"</formula>
    </cfRule>
    <cfRule type="expression" dxfId="1" priority="4">
      <formula>I6="ជាប់គាំង"</formula>
    </cfRule>
    <cfRule type="expression" dxfId="0" priority="5">
      <formula>I6="មិនទាន់មាន Evidence"</formula>
    </cfRule>
  </conditionalFormatting>
  <dataValidations count="1">
    <dataValidation type="list" sqref="I6:I11" xr:uid="{00000000-0002-0000-0800-000000000000}">
      <formula1>"គ្រោង,កំពុងធ្វើ,រង់ចាំ Review,បានបញ្ចប់,ជាប់គាំង,មិនទាន់មាន Evidence"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សង្ខេប</vt:lpstr>
      <vt:lpstr>វាយតម្លៃក្រុម</vt:lpstr>
      <vt:lpstr>តាមដានការងារ</vt:lpstr>
      <vt:lpstr>កំណត់ប្រជុំ</vt:lpstr>
      <vt:lpstr>ប្រវត្តិគម្រោង</vt:lpstr>
      <vt:lpstr>ភស្តុតាង GitHub</vt:lpstr>
      <vt:lpstr>QA-QC និងបញ្ហា</vt:lpstr>
      <vt:lpstr>ការងារសប្ដាហ៍នេះ</vt:lpstr>
      <vt:lpstr>ការងារសប្ដាហ៍ទី២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Koeurng Vireak</dc:creator>
  <dcterms:created xsi:type="dcterms:W3CDTF">2026-09-14T14:46:37Z</dcterms:created>
</cp:coreProperties>
</file>