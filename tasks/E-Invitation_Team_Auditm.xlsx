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7d9711c4d742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សង្ខេប" sheetId="1" r:id="R0f44270d43c648b7"/>
    <x:sheet xmlns:r="http://schemas.openxmlformats.org/officeDocument/2006/relationships" name="វាយតម្លៃក្រុម" sheetId="2" r:id="R9ec3a54e1d3a4695"/>
    <x:sheet xmlns:r="http://schemas.openxmlformats.org/officeDocument/2006/relationships" name="តាមដានការងារ" sheetId="3" r:id="Rb242723192824b5b"/>
    <x:sheet xmlns:r="http://schemas.openxmlformats.org/officeDocument/2006/relationships" name="កំណត់ប្រជុំ" sheetId="4" r:id="R5e410627881e4fa2"/>
    <x:sheet xmlns:r="http://schemas.openxmlformats.org/officeDocument/2006/relationships" name="ប្រវត្តិគម្រោង" sheetId="5" r:id="R2c1a9f85535e42d3"/>
    <x:sheet xmlns:r="http://schemas.openxmlformats.org/officeDocument/2006/relationships" name="ភស្តុតាង GitHub" sheetId="6" r:id="R61fe8e287de14150"/>
    <x:sheet xmlns:r="http://schemas.openxmlformats.org/officeDocument/2006/relationships" name="QA-QC និងបញ្ហា" sheetId="7" r:id="R9ee9478f75b04519"/>
    <x:sheet xmlns:r="http://schemas.openxmlformats.org/officeDocument/2006/relationships" name="ការងារសប្ដាហ៍នេះ" sheetId="8" r:id="R5b3c7b1ebded4a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-mmm-yyyy"/>
    <x:numFmt numFmtId="201" formatCode="0%"/>
    <x:numFmt numFmtId="202" formatCode="0.0"/>
    <x:numFmt numFmtId="203" formatCode="0&quot;%&quot;"/>
    <x:numFmt numFmtId="204" formatCode="0"/>
    <x:numFmt numFmtId="205" formatCode="ddd, dd-mmm-yyyy"/>
  </x:numFmts>
  <x:fonts count="28">
    <x:font>
      <x:sz val="11"/>
      <x:name val="Carlito"/>
    </x:font>
    <x:font>
      <x:b/>
      <x:sz val="14"/>
      <x:color rgb="FFFFFFFF"/>
      <x:name val="Khmer OS Muol Light"/>
    </x:font>
    <x:font>
      <x:b/>
      <x:sz val="10"/>
      <x:color rgb="FF1F4E78"/>
      <x:name val="Khmer OS Muol Light"/>
    </x:font>
    <x:font>
      <x:b/>
      <x:sz val="9"/>
      <x:color rgb="FFC00000"/>
      <x:name val="Khmer OS Battambang"/>
    </x:font>
    <x:font>
      <x:b/>
      <x:sz val="10"/>
      <x:color rgb="FFFFFFFF"/>
      <x:name val="Khmer OS Muol Light"/>
    </x:font>
    <x:font>
      <x:b/>
      <x:sz val="10"/>
      <x:name val="Khmer OS Muol Light"/>
    </x:font>
    <x:font>
      <x:sz val="9"/>
      <x:name val="Khmer OS Battambang"/>
    </x:font>
    <x:font>
      <x:b/>
      <x:sz val="18"/>
      <x:color rgb="FF17365D"/>
      <x:name val="Times New Roman"/>
    </x:font>
    <x:font>
      <x:b/>
      <x:sz val="18"/>
      <x:name val="Times New Roman"/>
    </x:font>
    <x:font>
      <x:b/>
      <x:sz val="9"/>
      <x:name val="Khmer OS Battambang"/>
    </x:font>
    <x:font>
      <x:sz val="9"/>
      <x:name val="Times New Roman"/>
    </x:font>
    <x:font>
      <x:b/>
      <x:sz val="9"/>
      <x:name val="Khmer OS Muol Light"/>
    </x:font>
    <x:font>
      <x:i/>
      <x:sz val="8"/>
      <x:name val="Khmer OS Battambang"/>
    </x:font>
    <x:font>
      <x:b/>
      <x:sz val="9"/>
      <x:color rgb="FFFFFFFF"/>
      <x:name val="Khmer OS Battambang"/>
    </x:font>
    <x:font>
      <x:i/>
      <x:sz val="9"/>
      <x:name val="Khmer OS Battambang"/>
    </x:font>
    <x:font>
      <x:b/>
      <x:sz val="8"/>
      <x:name val="Khmer OS Battambang"/>
    </x:font>
    <x:font>
      <x:sz val="8"/>
      <x:name val="Khmer OS Battambang"/>
    </x:font>
    <x:font>
      <x:sz val="8"/>
      <x:name val="Times New Roman"/>
    </x:font>
    <x:font>
      <x:b/>
      <x:sz val="8"/>
      <x:color rgb="FFFFFFFF"/>
      <x:name val="Khmer OS Battambang"/>
    </x:font>
    <x:font>
      <x:b/>
      <x:sz val="10"/>
      <x:name val="Khmer OS Battambang"/>
    </x:font>
    <x:font>
      <x:b/>
      <x:sz val="11"/>
      <x:color rgb="FFFFFFFF"/>
      <x:name val="Khmer OS Muol Light"/>
    </x:font>
    <x:font>
      <x:b/>
      <x:sz val="16"/>
      <x:color rgb="FFFFFFFF"/>
      <x:name val="Khmer OS Muol Light"/>
    </x:font>
    <x:font>
      <x:b/>
      <x:sz val="12"/>
      <x:color rgb="FF24431C"/>
      <x:name val="Khmer OS Battambang"/>
    </x:font>
    <x:font>
      <x:b/>
      <x:sz val="10"/>
      <x:color rgb="FFB42318"/>
      <x:name val="Khmer OS Battambang"/>
    </x:font>
    <x:font>
      <x:b/>
      <x:sz val="10"/>
      <x:color rgb="FFFFFFFF"/>
      <x:name val="Khmer OS Battambang"/>
    </x:font>
    <x:font>
      <x:b/>
      <x:sz val="12"/>
      <x:color rgb="FFFFFFFF"/>
      <x:name val="Khmer OS Muol Light"/>
    </x:font>
    <x:font>
      <x:b/>
      <x:sz val="11"/>
      <x:name val="Times New Roman"/>
    </x:font>
    <x:font>
      <x:sz val="10"/>
      <x:name val="Khmer OS Battambang"/>
    </x:font>
  </x:fonts>
  <x:fills count="24">
    <x:fill>
      <x:patternFill patternType="none"/>
    </x:fill>
    <x:fill>
      <x:patternFill patternType="gray125"/>
    </x:fill>
    <x:fill>
      <x:patternFill patternType="solid">
        <x:fgColor rgb="FF375623"/>
      </x:patternFill>
    </x:fill>
    <x:fill>
      <x:patternFill patternType="solid">
        <x:fgColor rgb="FFFCE4D6"/>
      </x:patternFill>
    </x:fill>
    <x:fill>
      <x:patternFill patternType="solid">
        <x:fgColor rgb="FF1F6D5A"/>
      </x:patternFill>
    </x:fill>
    <x:fill>
      <x:patternFill patternType="solid">
        <x:fgColor rgb="FF1F4E78"/>
      </x:patternFill>
    </x:fill>
    <x:fill>
      <x:patternFill patternType="solid">
        <x:fgColor rgb="FFD6A83E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  <x:fill>
      <x:patternFill patternType="solid">
        <x:fgColor rgb="FF70AD47"/>
      </x:patternFill>
    </x:fill>
    <x:fill>
      <x:patternFill patternType="solid">
        <x:fgColor rgb="FFF4CCCC"/>
      </x:patternFill>
    </x:fill>
    <x:fill>
      <x:patternFill patternType="solid">
        <x:fgColor rgb="FFE2F0D9"/>
      </x:patternFill>
    </x:fill>
    <x:fill>
      <x:patternFill patternType="solid">
        <x:fgColor rgb="FFFFFBEA"/>
      </x:patternFill>
    </x:fill>
    <x:fill>
      <x:patternFill patternType="solid">
        <x:fgColor rgb="FFEAF2F8"/>
      </x:patternFill>
    </x:fill>
    <x:fill>
      <x:patternFill patternType="solid">
        <x:fgColor rgb="FFFFF9E6"/>
      </x:patternFill>
    </x:fill>
    <x:fill>
      <x:patternFill patternType="solid">
        <x:fgColor rgb="FFFDE9E7"/>
      </x:patternFill>
    </x:fill>
    <x:fill>
      <x:patternFill patternType="solid">
        <x:fgColor rgb="FFC00000"/>
      </x:patternFill>
    </x:fill>
    <x:fill>
      <x:patternFill patternType="solid">
        <x:fgColor rgb="FF2F5D23"/>
      </x:patternFill>
    </x:fill>
    <x:fill>
      <x:patternFill patternType="solid">
        <x:fgColor rgb="FFEAF2E5"/>
      </x:patternFill>
    </x:fill>
    <x:fill>
      <x:patternFill patternType="solid">
        <x:fgColor rgb="FFFCE8D8"/>
      </x:patternFill>
    </x:fill>
    <x:fill>
      <x:patternFill patternType="solid">
        <x:fgColor rgb="FF1F6F5B"/>
      </x:patternFill>
    </x:fill>
    <x:fill>
      <x:patternFill patternType="solid">
        <x:fgColor rgb="FFFAFCF8"/>
      </x:patternFill>
    </x:fill>
  </x:fills>
  <x:borders count="28">
    <x:border/>
    <x:border/>
    <x:border>
      <x:left style="thin">
        <x:color rgb="FF808080"/>
      </x:left>
      <x:right style="thin">
        <x:color rgb="FFD9D9D9"/>
      </x:right>
      <x:top style="thin">
        <x:color rgb="FF808080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808080"/>
      </x:top>
      <x:bottom style="thin">
        <x:color rgb="FFD9D9D9"/>
      </x:bottom>
    </x:border>
    <x:border>
      <x:left style="thin">
        <x:color rgb="FFD9D9D9"/>
      </x:left>
      <x:right style="thin">
        <x:color rgb="FF808080"/>
      </x:right>
      <x:top style="thin">
        <x:color rgb="FF808080"/>
      </x:top>
      <x:bottom style="thin">
        <x:color rgb="FFD9D9D9"/>
      </x:bottom>
    </x:border>
    <x:border>
      <x:left style="thin">
        <x:color rgb="FF808080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808080"/>
      </x:right>
      <x:top style="thin">
        <x:color rgb="FFD9D9D9"/>
      </x:top>
      <x:bottom style="thin">
        <x:color rgb="FFD9D9D9"/>
      </x:bottom>
    </x:border>
    <x:border>
      <x:left style="thin">
        <x:color rgb="FF808080"/>
      </x:left>
      <x:right style="thin">
        <x:color rgb="FFD9D9D9"/>
      </x:right>
      <x:top style="thin">
        <x:color rgb="FFD9D9D9"/>
      </x:top>
      <x:bottom style="thin">
        <x:color rgb="FF80808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808080"/>
      </x:bottom>
    </x:border>
    <x:border>
      <x:left style="thin">
        <x:color rgb="FFD9D9D9"/>
      </x:left>
      <x:right style="thin">
        <x:color rgb="FF808080"/>
      </x:right>
      <x:top style="thin">
        <x:color rgb="FFD9D9D9"/>
      </x:top>
      <x:bottom style="thin">
        <x:color rgb="FF808080"/>
      </x:bottom>
    </x:border>
    <x:border>
      <x:left style="thin">
        <x:color rgb="FF808080"/>
      </x:left>
      <x:right style="thin">
        <x:color rgb="FFD9D9D9"/>
      </x:right>
      <x:top style="thin">
        <x:color rgb="FF808080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808080"/>
      </x:top>
      <x:bottom style="thin">
        <x:color rgb="FFD9D9D9"/>
      </x:bottom>
    </x:border>
    <x:border>
      <x:left style="thin">
        <x:color rgb="FFD9D9D9"/>
      </x:left>
      <x:right style="thin">
        <x:color rgb="FF808080"/>
      </x:right>
      <x:top style="thin">
        <x:color rgb="FF808080"/>
      </x:top>
      <x:bottom style="thin">
        <x:color rgb="FFD9D9D9"/>
      </x:bottom>
    </x:border>
    <x:border>
      <x:left style="thin">
        <x:color rgb="FF808080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808080"/>
      </x:right>
      <x:top style="thin">
        <x:color rgb="FFD9D9D9"/>
      </x:top>
      <x:bottom style="thin">
        <x:color rgb="FFD9D9D9"/>
      </x:bottom>
    </x:border>
    <x:border>
      <x:left style="thin">
        <x:color rgb="FF808080"/>
      </x:left>
      <x:right style="thin">
        <x:color rgb="FFD9D9D9"/>
      </x:right>
      <x:top style="thin">
        <x:color rgb="FFD9D9D9"/>
      </x:top>
      <x:bottom style="thin">
        <x:color rgb="FF80808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808080"/>
      </x:bottom>
    </x:border>
    <x:border>
      <x:left style="thin">
        <x:color rgb="FFD9D9D9"/>
      </x:left>
      <x:right style="thin">
        <x:color rgb="FF808080"/>
      </x:right>
      <x:top style="thin">
        <x:color rgb="FFD9D9D9"/>
      </x:top>
      <x:bottom style="thin">
        <x:color rgb="FF808080"/>
      </x:bottom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200" fontId="6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6" fillId="0" borderId="5" xfId="0" applyNumberFormat="1" applyFont="1" applyFill="1" applyBorder="1" applyAlignment="1">
      <x:alignment vertical="center" wrapText="1"/>
    </x:xf>
    <x:xf numFmtId="200" fontId="6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/>
    <x:xf numFmtId="0" fontId="6" fillId="0" borderId="6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/>
    <x:xf numFmtId="0" fontId="6" fillId="0" borderId="11" xfId="0" applyNumberFormat="1" applyFont="1" applyFill="1" applyBorder="1" applyAlignment="1">
      <x:alignment vertical="center" wrapText="1"/>
    </x:xf>
    <x:xf numFmtId="200" fontId="6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/>
    <x:xf numFmtId="0" fontId="6" fillId="0" borderId="14" xfId="0" applyNumberFormat="1" applyFont="1" applyFill="1" applyBorder="1" applyAlignment="1">
      <x:alignment vertical="center" wrapText="1"/>
    </x:xf>
    <x:xf numFmtId="200" fontId="6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6" fillId="0" borderId="15" xfId="0" applyNumberFormat="1" applyFont="1" applyFill="1" applyBorder="1" applyAlignment="1">
      <x:alignment vertical="center" wrapText="1"/>
    </x:xf>
    <x:xf numFmtId="0" fontId="6" fillId="0" borderId="17" xfId="0" applyNumberFormat="1" applyFont="1" applyFill="1" applyBorder="1" applyAlignment="1">
      <x:alignment vertical="center" wrapText="1"/>
    </x:xf>
    <x:xf numFmtId="0" fontId="6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horizontal="center"/>
    </x:xf>
    <x:xf numFmtId="0" fontId="7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horizontal="center"/>
    </x:xf>
    <x:xf numFmtId="0" fontId="8" fillId="8" borderId="1" xfId="0" applyNumberFormat="1" applyFont="1" applyFill="1" applyBorder="1" applyAlignment="1">
      <x:alignment horizontal="center" vertical="center"/>
    </x:xf>
    <x:xf numFmtId="201" fontId="8" fillId="8" borderId="0" xfId="0" applyNumberFormat="1" applyFont="1" applyFill="1" applyBorder="1" applyAlignment="1">
      <x:alignment horizontal="center" vertical="center"/>
    </x:xf>
    <x:xf numFmtId="201" fontId="8" fillId="8" borderId="1" xfId="0" applyNumberFormat="1" applyFont="1" applyFill="1" applyBorder="1" applyAlignment="1">
      <x:alignment horizontal="center" vertical="center"/>
    </x:xf>
    <x:xf numFmtId="202" fontId="7" fillId="7" borderId="0" xfId="0" applyNumberFormat="1" applyFont="1" applyFill="1" applyBorder="1" applyAlignment="1">
      <x:alignment horizontal="center" vertical="center"/>
    </x:xf>
    <x:xf numFmtId="202" fontId="7" fillId="7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horizontal="center" wrapText="1"/>
    </x:xf>
    <x:xf numFmtId="0" fontId="9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9" fillId="9" borderId="1" xfId="0" applyNumberFormat="1" applyFont="1" applyFill="1" applyBorder="1"/>
    <x:xf numFmtId="0" fontId="9" fillId="9" borderId="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horizontal="center" wrapText="1"/>
    </x:xf>
    <x:xf numFmtId="0" fontId="9" fillId="9" borderId="1" xfId="0" applyNumberFormat="1" applyFont="1" applyFill="1" applyBorder="1" applyAlignment="1">
      <x:alignment horizontal="center"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center" wrapText="1"/>
    </x:xf>
    <x:xf numFmtId="0" fontId="9" fillId="9" borderId="2" xfId="0" applyNumberFormat="1" applyFont="1" applyFill="1" applyBorder="1" applyAlignment="1">
      <x:alignment horizontal="center" vertical="center" wrapText="1"/>
    </x:xf>
    <x:xf numFmtId="0" fontId="9" fillId="9" borderId="3" xfId="0" applyNumberFormat="1" applyFont="1" applyFill="1" applyBorder="1" applyAlignment="1">
      <x:alignment horizontal="center" vertical="center" wrapText="1"/>
    </x:xf>
    <x:xf numFmtId="0" fontId="9" fillId="9" borderId="4" xfId="0" applyNumberFormat="1" applyFont="1" applyFill="1" applyBorder="1" applyAlignment="1">
      <x:alignment horizontal="center" vertical="center" wrapText="1"/>
    </x:xf>
    <x:xf numFmtId="201" fontId="6" fillId="0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201" fontId="6" fillId="0" borderId="9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9" fillId="9" borderId="11" xfId="0" applyNumberFormat="1" applyFont="1" applyFill="1" applyBorder="1" applyAlignment="1">
      <x:alignment horizontal="center" vertical="center" wrapText="1"/>
    </x:xf>
    <x:xf numFmtId="0" fontId="9" fillId="9" borderId="12" xfId="0" applyNumberFormat="1" applyFont="1" applyFill="1" applyBorder="1" applyAlignment="1">
      <x:alignment horizontal="center" vertical="center" wrapText="1"/>
    </x:xf>
    <x:xf numFmtId="0" fontId="9" fillId="9" borderId="13" xfId="0" applyNumberFormat="1" applyFont="1" applyFill="1" applyBorder="1" applyAlignment="1">
      <x:alignment horizontal="center" vertical="center" wrapText="1"/>
    </x:xf>
    <x:xf numFmtId="201" fontId="6" fillId="0" borderId="15" xfId="0" applyNumberFormat="1" applyFont="1" applyFill="1" applyBorder="1" applyAlignment="1">
      <x:alignment vertical="center" wrapText="1"/>
    </x:xf>
    <x:xf numFmtId="0" fontId="6" fillId="0" borderId="16" xfId="0" applyNumberFormat="1" applyFont="1" applyFill="1" applyBorder="1" applyAlignment="1">
      <x:alignment vertical="center" wrapText="1"/>
    </x:xf>
    <x:xf numFmtId="201" fontId="6" fillId="0" borderId="18" xfId="0" applyNumberFormat="1" applyFont="1" applyFill="1" applyBorder="1" applyAlignment="1">
      <x:alignment vertical="center" wrapText="1"/>
    </x:xf>
    <x:xf numFmtId="0" fontId="6" fillId="0" borderId="19" xfId="0" applyNumberFormat="1" applyFont="1" applyFill="1" applyBorder="1" applyAlignment="1">
      <x:alignment vertical="center" wrapText="1"/>
    </x:xf>
    <x:xf numFmtId="0" fontId="10" fillId="0" borderId="6" xfId="0" applyNumberFormat="1" applyFont="1" applyFill="1" applyBorder="1" applyAlignment="1">
      <x:alignment vertical="center" wrapText="1"/>
    </x:xf>
    <x:xf numFmtId="0" fontId="10" fillId="0" borderId="9" xfId="0" applyNumberFormat="1" applyFont="1" applyFill="1" applyBorder="1" applyAlignment="1">
      <x:alignment vertical="center" wrapText="1"/>
    </x:xf>
    <x:xf numFmtId="0" fontId="10" fillId="0" borderId="15" xfId="0" applyNumberFormat="1" applyFont="1" applyFill="1" applyBorder="1" applyAlignment="1">
      <x:alignment vertical="center" wrapText="1"/>
    </x:xf>
    <x:xf numFmtId="0" fontId="10" fillId="0" borderId="18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horizont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horizontal="center" wrapText="1"/>
    </x:xf>
    <x:xf numFmtId="0" fontId="9" fillId="7" borderId="1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vertical="center" wrapText="1"/>
    </x:xf>
    <x:xf numFmtId="0" fontId="9" fillId="7" borderId="2" xfId="0" applyNumberFormat="1" applyFont="1" applyFill="1" applyBorder="1" applyAlignment="1">
      <x:alignment horizontal="center" vertical="center" wrapText="1"/>
    </x:xf>
    <x:xf numFmtId="0" fontId="9" fillId="7" borderId="3" xfId="0" applyNumberFormat="1" applyFont="1" applyFill="1" applyBorder="1" applyAlignment="1">
      <x:alignment horizontal="center" vertical="center" wrapText="1"/>
    </x:xf>
    <x:xf numFmtId="0" fontId="9" fillId="7" borderId="4" xfId="0" applyNumberFormat="1" applyFont="1" applyFill="1" applyBorder="1" applyAlignment="1">
      <x:alignment horizontal="center" vertical="center" wrapText="1"/>
    </x:xf>
    <x:xf numFmtId="0" fontId="10" fillId="0" borderId="7" xfId="0" applyNumberFormat="1" applyFont="1" applyFill="1" applyBorder="1" applyAlignment="1">
      <x:alignment vertical="center" wrapText="1"/>
    </x:xf>
    <x:xf numFmtId="0" fontId="10" fillId="0" borderId="10" xfId="0" applyNumberFormat="1" applyFont="1" applyFill="1" applyBorder="1" applyAlignment="1">
      <x:alignment vertical="center" wrapText="1"/>
    </x:xf>
    <x:xf numFmtId="0" fontId="9" fillId="7" borderId="11" xfId="0" applyNumberFormat="1" applyFont="1" applyFill="1" applyBorder="1" applyAlignment="1">
      <x:alignment horizontal="center" vertical="center" wrapText="1"/>
    </x:xf>
    <x:xf numFmtId="0" fontId="9" fillId="7" borderId="12" xfId="0" applyNumberFormat="1" applyFont="1" applyFill="1" applyBorder="1" applyAlignment="1">
      <x:alignment horizontal="center" vertical="center" wrapText="1"/>
    </x:xf>
    <x:xf numFmtId="0" fontId="9" fillId="7" borderId="13" xfId="0" applyNumberFormat="1" applyFont="1" applyFill="1" applyBorder="1" applyAlignment="1">
      <x:alignment horizontal="center" vertical="center" wrapText="1"/>
    </x:xf>
    <x:xf numFmtId="0" fontId="10" fillId="0" borderId="16" xfId="0" applyNumberFormat="1" applyFont="1" applyFill="1" applyBorder="1" applyAlignment="1">
      <x:alignment vertical="center" wrapText="1"/>
    </x:xf>
    <x:xf numFmtId="0" fontId="10" fillId="0" borderId="19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horizontal="center"/>
    </x:xf>
    <x:xf numFmtId="0" fontId="11" fillId="6" borderId="0" xfId="0" applyNumberFormat="1" applyFont="1" applyFill="1" applyBorder="1" applyAlignment="1">
      <x:alignment horizontal="center" vertical="center"/>
    </x:xf>
    <x:xf numFmtId="0" fontId="11" fillId="6" borderId="1" xfId="0" applyNumberFormat="1" applyFont="1" applyFill="1" applyBorder="1"/>
    <x:xf numFmtId="0" fontId="11" fillId="6" borderId="1" xfId="0" applyNumberFormat="1" applyFont="1" applyFill="1" applyBorder="1" applyAlignment="1">
      <x:alignment horizontal="center"/>
    </x:xf>
    <x:xf numFmtId="0" fontId="11" fillId="6" borderId="1" xfId="0" applyNumberFormat="1" applyFont="1" applyFill="1" applyBorder="1" applyAlignment="1">
      <x:alignment horizontal="center" vertical="center"/>
    </x:xf>
    <x:xf numFmtId="0" fontId="11" fillId="6" borderId="2" xfId="0" applyNumberFormat="1" applyFont="1" applyFill="1" applyBorder="1" applyAlignment="1">
      <x:alignment horizontal="center" vertical="center"/>
    </x:xf>
    <x:xf numFmtId="0" fontId="11" fillId="6" borderId="3" xfId="0" applyNumberFormat="1" applyFont="1" applyFill="1" applyBorder="1" applyAlignment="1">
      <x:alignment horizontal="center" vertical="center"/>
    </x:xf>
    <x:xf numFmtId="0" fontId="11" fillId="6" borderId="4" xfId="0" applyNumberFormat="1" applyFont="1" applyFill="1" applyBorder="1" applyAlignment="1">
      <x:alignment horizontal="center" vertical="center"/>
    </x:xf>
    <x:xf numFmtId="0" fontId="11" fillId="6" borderId="11" xfId="0" applyNumberFormat="1" applyFont="1" applyFill="1" applyBorder="1" applyAlignment="1">
      <x:alignment horizontal="center" vertical="center"/>
    </x:xf>
    <x:xf numFmtId="0" fontId="11" fillId="6" borderId="12" xfId="0" applyNumberFormat="1" applyFont="1" applyFill="1" applyBorder="1" applyAlignment="1">
      <x:alignment horizontal="center" vertical="center"/>
    </x:xf>
    <x:xf numFmtId="0" fontId="11" fillId="6" borderId="13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/>
    <x:xf numFmtId="0" fontId="12" fillId="10" borderId="1" xfId="0" applyNumberFormat="1" applyFont="1" applyFill="1" applyBorder="1"/>
    <x:xf numFmtId="0" fontId="12" fillId="10" borderId="1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12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vertical="center" wrapText="1"/>
    </x:xf>
    <x:xf numFmtId="0" fontId="10" fillId="0" borderId="3" xfId="0" applyNumberFormat="1" applyFont="1" applyFill="1" applyBorder="1" applyAlignment="1">
      <x:alignment vertical="center" wrapText="1"/>
    </x:xf>
    <x:xf numFmtId="0" fontId="10" fillId="0" borderId="12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3" fillId="11" borderId="0" xfId="0" applyNumberFormat="1" applyFont="1" applyFill="1" applyBorder="1"/>
    <x:xf numFmtId="0" fontId="13" fillId="11" borderId="0" xfId="0" applyNumberFormat="1" applyFont="1" applyFill="1" applyBorder="1" applyAlignment="1">
      <x:alignment wrapText="1"/>
    </x:xf>
    <x:xf numFmtId="0" fontId="13" fillId="11" borderId="0" xfId="0" applyNumberFormat="1" applyFont="1" applyFill="1" applyBorder="1" applyAlignment="1">
      <x:alignment horizontal="center" wrapText="1"/>
    </x:xf>
    <x:xf numFmtId="0" fontId="13" fillId="11" borderId="0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/>
    <x:xf numFmtId="0" fontId="13" fillId="11" borderId="1" xfId="0" applyNumberFormat="1" applyFont="1" applyFill="1" applyBorder="1"/>
    <x:xf numFmtId="0" fontId="13" fillId="11" borderId="1" xfId="0" applyNumberFormat="1" applyFont="1" applyFill="1" applyBorder="1" applyAlignment="1">
      <x:alignment wrapText="1"/>
    </x:xf>
    <x:xf numFmtId="0" fontId="13" fillId="11" borderId="1" xfId="0" applyNumberFormat="1" applyFont="1" applyFill="1" applyBorder="1" applyAlignment="1">
      <x:alignment horizontal="center" wrapText="1"/>
    </x:xf>
    <x:xf numFmtId="0" fontId="13" fillId="11" borderId="1" xfId="0" applyNumberFormat="1" applyFont="1" applyFill="1" applyBorder="1" applyAlignment="1">
      <x:alignment horizontal="center" vertical="center" wrapText="1"/>
    </x:xf>
    <x:xf numFmtId="0" fontId="13" fillId="11" borderId="2" xfId="0" applyNumberFormat="1" applyFont="1" applyFill="1" applyBorder="1" applyAlignment="1">
      <x:alignment horizontal="center" vertical="center" wrapText="1"/>
    </x:xf>
    <x:xf numFmtId="0" fontId="13" fillId="11" borderId="3" xfId="0" applyNumberFormat="1" applyFont="1" applyFill="1" applyBorder="1" applyAlignment="1">
      <x:alignment horizontal="center" vertical="center" wrapText="1"/>
    </x:xf>
    <x:xf numFmtId="0" fontId="13" fillId="11" borderId="4" xfId="0" applyNumberFormat="1" applyFont="1" applyFill="1" applyBorder="1" applyAlignment="1">
      <x:alignment horizontal="center" vertical="center" wrapText="1"/>
    </x:xf>
    <x:xf numFmtId="0" fontId="13" fillId="11" borderId="11" xfId="0" applyNumberFormat="1" applyFont="1" applyFill="1" applyBorder="1" applyAlignment="1">
      <x:alignment horizontal="center" vertical="center" wrapText="1"/>
    </x:xf>
    <x:xf numFmtId="0" fontId="13" fillId="11" borderId="12" xfId="0" applyNumberFormat="1" applyFont="1" applyFill="1" applyBorder="1" applyAlignment="1">
      <x:alignment horizontal="center" vertical="center" wrapText="1"/>
    </x:xf>
    <x:xf numFmtId="0" fontId="13" fillId="11" borderId="13" xfId="0" applyNumberFormat="1" applyFont="1" applyFill="1" applyBorder="1" applyAlignment="1">
      <x:alignment horizontal="center" vertical="center" wrapText="1"/>
    </x:xf>
    <x:xf numFmtId="0" fontId="14" fillId="8" borderId="0" xfId="0" applyNumberFormat="1" applyFont="1" applyFill="1" applyBorder="1"/>
    <x:xf numFmtId="0" fontId="14" fillId="8" borderId="0" xfId="0" applyNumberFormat="1" applyFont="1" applyFill="1" applyBorder="1" applyAlignment="1">
      <x:alignment wrapText="1"/>
    </x:xf>
    <x:xf numFmtId="0" fontId="14" fillId="8" borderId="0" xfId="0" applyNumberFormat="1" applyFont="1" applyFill="1" applyBorder="1" applyAlignment="1">
      <x:alignment vertical="center" wrapText="1"/>
    </x:xf>
    <x:xf numFmtId="0" fontId="14" fillId="8" borderId="1" xfId="0" applyNumberFormat="1" applyFont="1" applyFill="1" applyBorder="1"/>
    <x:xf numFmtId="0" fontId="14" fillId="8" borderId="1" xfId="0" applyNumberFormat="1" applyFont="1" applyFill="1" applyBorder="1" applyAlignment="1">
      <x:alignment wrapText="1"/>
    </x:xf>
    <x:xf numFmtId="0" fontId="14" fillId="8" borderId="1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horizontal="center" wrapText="1"/>
    </x:xf>
    <x:xf numFmtId="0" fontId="9" fillId="10" borderId="0" xfId="0" applyNumberFormat="1" applyFont="1" applyFill="1" applyBorder="1" applyAlignment="1">
      <x:alignment horizontal="center" vertical="center" wrapText="1"/>
    </x:xf>
    <x:xf numFmtId="0" fontId="9" fillId="10" borderId="1" xfId="0" applyNumberFormat="1" applyFont="1" applyFill="1" applyBorder="1"/>
    <x:xf numFmtId="0" fontId="9" fillId="10" borderId="1" xfId="0" applyNumberFormat="1" applyFont="1" applyFill="1" applyBorder="1" applyAlignment="1">
      <x:alignment wrapText="1"/>
    </x:xf>
    <x:xf numFmtId="0" fontId="9" fillId="10" borderId="1" xfId="0" applyNumberFormat="1" applyFont="1" applyFill="1" applyBorder="1" applyAlignment="1">
      <x:alignment horizontal="center" wrapText="1"/>
    </x:xf>
    <x:xf numFmtId="0" fontId="9" fillId="10" borderId="1" xfId="0" applyNumberFormat="1" applyFont="1" applyFill="1" applyBorder="1" applyAlignment="1">
      <x:alignment horizontal="center" vertical="center" wrapText="1"/>
    </x:xf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 vertical="center"/>
    </x:xf>
    <x:xf numFmtId="0" fontId="11" fillId="7" borderId="1" xfId="0" applyNumberFormat="1" applyFont="1" applyFill="1" applyBorder="1"/>
    <x:xf numFmtId="0" fontId="11" fillId="7" borderId="1" xfId="0" applyNumberFormat="1" applyFont="1" applyFill="1" applyBorder="1" applyAlignment="1">
      <x:alignment horizontal="center"/>
    </x:xf>
    <x:xf numFmtId="0" fontId="11" fillId="7" borderId="1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0" xfId="0" applyNumberFormat="1" applyFont="1" applyFill="1" applyBorder="1" applyAlignment="1">
      <x:alignment horizontal="center"/>
    </x:xf>
    <x:xf numFmtId="0" fontId="11" fillId="12" borderId="0" xfId="0" applyNumberFormat="1" applyFont="1" applyFill="1" applyBorder="1" applyAlignment="1">
      <x:alignment horizontal="center" vertical="center"/>
    </x:xf>
    <x:xf numFmtId="0" fontId="0" fillId="12" borderId="1" xfId="0" applyNumberFormat="1" applyFont="1" applyFill="1" applyBorder="1"/>
    <x:xf numFmtId="0" fontId="11" fillId="12" borderId="1" xfId="0" applyNumberFormat="1" applyFont="1" applyFill="1" applyBorder="1"/>
    <x:xf numFmtId="0" fontId="11" fillId="12" borderId="1" xfId="0" applyNumberFormat="1" applyFont="1" applyFill="1" applyBorder="1" applyAlignment="1">
      <x:alignment horizontal="center"/>
    </x:xf>
    <x:xf numFmtId="0" fontId="11" fillId="12" borderId="1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horizontal="center" wrapText="1"/>
    </x:xf>
    <x:xf numFmtId="0" fontId="15" fillId="0" borderId="0" xfId="0" applyNumberFormat="1" applyFont="1" applyFill="1" applyBorder="1" applyAlignment="1">
      <x:alignment horizontal="center" vertical="center" wrapText="1"/>
    </x:xf>
    <x:xf numFmtId="0" fontId="15" fillId="0" borderId="1" xfId="0" applyNumberFormat="1" applyFont="1" applyFill="1" applyBorder="1"/>
    <x:xf numFmtId="0" fontId="15" fillId="0" borderId="1" xfId="0" applyNumberFormat="1" applyFont="1" applyFill="1" applyBorder="1" applyAlignment="1">
      <x:alignment wrapText="1"/>
    </x:xf>
    <x:xf numFmtId="0" fontId="15" fillId="0" borderId="1" xfId="0" applyNumberFormat="1" applyFont="1" applyFill="1" applyBorder="1" applyAlignment="1">
      <x:alignment horizontal="center" wrapText="1"/>
    </x:xf>
    <x:xf numFmtId="0" fontId="15" fillId="0" borderId="1" xfId="0" applyNumberFormat="1" applyFont="1" applyFill="1" applyBorder="1" applyAlignment="1">
      <x:alignment horizontal="center" vertical="center" wrapText="1"/>
    </x:xf>
    <x:xf numFmtId="0" fontId="15" fillId="13" borderId="0" xfId="0" applyNumberFormat="1" applyFont="1" applyFill="1" applyBorder="1" applyAlignment="1">
      <x:alignment horizontal="center" vertical="center" wrapText="1"/>
    </x:xf>
    <x:xf numFmtId="0" fontId="15" fillId="13" borderId="1" xfId="0" applyNumberFormat="1" applyFont="1" applyFill="1" applyBorder="1" applyAlignment="1">
      <x:alignment horizontal="center" vertical="center" wrapText="1"/>
    </x:xf>
    <x:xf numFmtId="0" fontId="15" fillId="7" borderId="0" xfId="0" applyNumberFormat="1" applyFont="1" applyFill="1" applyBorder="1" applyAlignment="1">
      <x:alignment horizontal="center" vertical="center" wrapText="1"/>
    </x:xf>
    <x:xf numFmtId="0" fontId="15" fillId="7" borderId="1" xfId="0" applyNumberFormat="1" applyFont="1" applyFill="1" applyBorder="1" applyAlignment="1">
      <x:alignment horizontal="center" vertical="center" wrapText="1"/>
    </x:xf>
    <x:xf numFmtId="0" fontId="15" fillId="8" borderId="0" xfId="0" applyNumberFormat="1" applyFont="1" applyFill="1" applyBorder="1" applyAlignment="1">
      <x:alignment horizontal="center" vertical="center" wrapText="1"/>
    </x:xf>
    <x:xf numFmtId="0" fontId="15" fillId="8" borderId="1" xfId="0" applyNumberFormat="1" applyFont="1" applyFill="1" applyBorder="1" applyAlignment="1">
      <x:alignment horizontal="center" vertical="center" wrapText="1"/>
    </x:xf>
    <x:xf numFmtId="0" fontId="15" fillId="3" borderId="0" xfId="0" applyNumberFormat="1" applyFont="1" applyFill="1" applyBorder="1" applyAlignment="1">
      <x:alignment horizontal="center" vertical="center" wrapText="1"/>
    </x:xf>
    <x:xf numFmtId="0" fontId="15" fillId="3" borderId="1" xfId="0" applyNumberFormat="1" applyFont="1" applyFill="1" applyBorder="1" applyAlignment="1">
      <x:alignment horizontal="center" vertical="center" wrapText="1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vertical="center" wrapText="1"/>
    </x:xf>
    <x:xf numFmtId="0" fontId="16" fillId="0" borderId="1" xfId="0" applyNumberFormat="1" applyFont="1" applyFill="1" applyBorder="1"/>
    <x:xf numFmtId="0" fontId="16" fillId="0" borderId="1" xfId="0" applyNumberFormat="1" applyFont="1" applyFill="1" applyBorder="1" applyAlignment="1">
      <x:alignment wrapText="1"/>
    </x:xf>
    <x:xf numFmtId="0" fontId="16" fillId="0" borderId="1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vertical="center" wrapText="1"/>
    </x:xf>
    <x:xf numFmtId="0" fontId="17" fillId="0" borderId="1" xfId="0" applyNumberFormat="1" applyFont="1" applyFill="1" applyBorder="1" applyAlignment="1">
      <x:alignment vertical="center" wrapText="1"/>
    </x:xf>
    <x:xf numFmtId="0" fontId="16" fillId="14" borderId="0" xfId="0" applyNumberFormat="1" applyFont="1" applyFill="1" applyBorder="1" applyAlignment="1">
      <x:alignment vertical="center" wrapText="1"/>
    </x:xf>
    <x:xf numFmtId="0" fontId="16" fillId="14" borderId="1" xfId="0" applyNumberFormat="1" applyFont="1" applyFill="1" applyBorder="1" applyAlignment="1">
      <x:alignment vertical="center" wrapText="1"/>
    </x:xf>
    <x:xf numFmtId="0" fontId="16" fillId="15" borderId="0" xfId="0" applyNumberFormat="1" applyFont="1" applyFill="1" applyBorder="1" applyAlignment="1">
      <x:alignment vertical="center" wrapText="1"/>
    </x:xf>
    <x:xf numFmtId="0" fontId="16" fillId="15" borderId="1" xfId="0" applyNumberFormat="1" applyFont="1" applyFill="1" applyBorder="1" applyAlignment="1">
      <x:alignment vertical="center" wrapText="1"/>
    </x:xf>
    <x:xf numFmtId="0" fontId="16" fillId="16" borderId="0" xfId="0" applyNumberFormat="1" applyFont="1" applyFill="1" applyBorder="1" applyAlignment="1">
      <x:alignment vertical="center" wrapText="1"/>
    </x:xf>
    <x:xf numFmtId="0" fontId="16" fillId="16" borderId="1" xfId="0" applyNumberFormat="1" applyFont="1" applyFill="1" applyBorder="1" applyAlignment="1">
      <x:alignment vertical="center" wrapText="1"/>
    </x:xf>
    <x:xf numFmtId="0" fontId="16" fillId="17" borderId="0" xfId="0" applyNumberFormat="1" applyFont="1" applyFill="1" applyBorder="1" applyAlignment="1">
      <x:alignment vertical="center" wrapText="1"/>
    </x:xf>
    <x:xf numFmtId="0" fontId="16" fillId="17" borderId="1" xfId="0" applyNumberFormat="1" applyFont="1" applyFill="1" applyBorder="1" applyAlignment="1">
      <x:alignment vertical="center" wrapText="1"/>
    </x:xf>
    <x:xf numFmtId="0" fontId="9" fillId="10" borderId="2" xfId="0" applyNumberFormat="1" applyFont="1" applyFill="1" applyBorder="1" applyAlignment="1">
      <x:alignment horizontal="center" vertical="center" wrapText="1"/>
    </x:xf>
    <x:xf numFmtId="0" fontId="9" fillId="10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/>
    </x:xf>
    <x:xf numFmtId="0" fontId="11" fillId="7" borderId="3" xfId="0" applyNumberFormat="1" applyFont="1" applyFill="1" applyBorder="1" applyAlignment="1">
      <x:alignment horizontal="center" vertical="center"/>
    </x:xf>
    <x:xf numFmtId="0" fontId="11" fillId="12" borderId="3" xfId="0" applyNumberFormat="1" applyFont="1" applyFill="1" applyBorder="1" applyAlignment="1">
      <x:alignment horizontal="center" vertical="center"/>
    </x:xf>
    <x:xf numFmtId="0" fontId="11" fillId="12" borderId="4" xfId="0" applyNumberFormat="1" applyFont="1" applyFill="1" applyBorder="1" applyAlignment="1">
      <x:alignment horizontal="center" vertical="center"/>
    </x:xf>
    <x:xf numFmtId="0" fontId="15" fillId="0" borderId="5" xfId="0" applyNumberFormat="1" applyFont="1" applyFill="1" applyBorder="1" applyAlignment="1">
      <x:alignment horizontal="center" vertical="center" wrapText="1"/>
    </x:xf>
    <x:xf numFmtId="0" fontId="15" fillId="0" borderId="6" xfId="0" applyNumberFormat="1" applyFont="1" applyFill="1" applyBorder="1" applyAlignment="1">
      <x:alignment horizontal="center" vertical="center" wrapText="1"/>
    </x:xf>
    <x:xf numFmtId="0" fontId="15" fillId="13" borderId="6" xfId="0" applyNumberFormat="1" applyFont="1" applyFill="1" applyBorder="1" applyAlignment="1">
      <x:alignment horizontal="center" vertical="center" wrapText="1"/>
    </x:xf>
    <x:xf numFmtId="0" fontId="15" fillId="7" borderId="6" xfId="0" applyNumberFormat="1" applyFont="1" applyFill="1" applyBorder="1" applyAlignment="1">
      <x:alignment horizontal="center" vertical="center" wrapText="1"/>
    </x:xf>
    <x:xf numFmtId="0" fontId="15" fillId="8" borderId="6" xfId="0" applyNumberFormat="1" applyFont="1" applyFill="1" applyBorder="1" applyAlignment="1">
      <x:alignment horizontal="center" vertical="center" wrapText="1"/>
    </x:xf>
    <x:xf numFmtId="0" fontId="15" fillId="3" borderId="6" xfId="0" applyNumberFormat="1" applyFont="1" applyFill="1" applyBorder="1" applyAlignment="1">
      <x:alignment horizontal="center" vertical="center" wrapText="1"/>
    </x:xf>
    <x:xf numFmtId="0" fontId="15" fillId="3" borderId="7" xfId="0" applyNumberFormat="1" applyFont="1" applyFill="1" applyBorder="1" applyAlignment="1">
      <x:alignment horizontal="center" vertical="center" wrapText="1"/>
    </x:xf>
    <x:xf numFmtId="0" fontId="16" fillId="0" borderId="5" xfId="0" applyNumberFormat="1" applyFont="1" applyFill="1" applyBorder="1" applyAlignment="1">
      <x:alignment vertical="center" wrapText="1"/>
    </x:xf>
    <x:xf numFmtId="0" fontId="16" fillId="0" borderId="6" xfId="0" applyNumberFormat="1" applyFont="1" applyFill="1" applyBorder="1" applyAlignment="1">
      <x:alignment vertical="center" wrapText="1"/>
    </x:xf>
    <x:xf numFmtId="0" fontId="17" fillId="0" borderId="6" xfId="0" applyNumberFormat="1" applyFont="1" applyFill="1" applyBorder="1" applyAlignment="1">
      <x:alignment vertical="center" wrapText="1"/>
    </x:xf>
    <x:xf numFmtId="0" fontId="16" fillId="14" borderId="6" xfId="0" applyNumberFormat="1" applyFont="1" applyFill="1" applyBorder="1" applyAlignment="1">
      <x:alignment vertical="center" wrapText="1"/>
    </x:xf>
    <x:xf numFmtId="0" fontId="16" fillId="15" borderId="6" xfId="0" applyNumberFormat="1" applyFont="1" applyFill="1" applyBorder="1" applyAlignment="1">
      <x:alignment vertical="center" wrapText="1"/>
    </x:xf>
    <x:xf numFmtId="0" fontId="16" fillId="16" borderId="6" xfId="0" applyNumberFormat="1" applyFont="1" applyFill="1" applyBorder="1" applyAlignment="1">
      <x:alignment vertical="center" wrapText="1"/>
    </x:xf>
    <x:xf numFmtId="0" fontId="16" fillId="17" borderId="6" xfId="0" applyNumberFormat="1" applyFont="1" applyFill="1" applyBorder="1" applyAlignment="1">
      <x:alignment vertical="center" wrapText="1"/>
    </x:xf>
    <x:xf numFmtId="0" fontId="16" fillId="16" borderId="7" xfId="0" applyNumberFormat="1" applyFont="1" applyFill="1" applyBorder="1" applyAlignment="1">
      <x:alignment vertical="center" wrapText="1"/>
    </x:xf>
    <x:xf numFmtId="0" fontId="16" fillId="0" borderId="8" xfId="0" applyNumberFormat="1" applyFont="1" applyFill="1" applyBorder="1" applyAlignment="1">
      <x:alignment vertical="center" wrapText="1"/>
    </x:xf>
    <x:xf numFmtId="0" fontId="16" fillId="0" borderId="9" xfId="0" applyNumberFormat="1" applyFont="1" applyFill="1" applyBorder="1" applyAlignment="1">
      <x:alignment vertical="center" wrapText="1"/>
    </x:xf>
    <x:xf numFmtId="0" fontId="17" fillId="0" borderId="9" xfId="0" applyNumberFormat="1" applyFont="1" applyFill="1" applyBorder="1" applyAlignment="1">
      <x:alignment vertical="center" wrapText="1"/>
    </x:xf>
    <x:xf numFmtId="0" fontId="16" fillId="14" borderId="9" xfId="0" applyNumberFormat="1" applyFont="1" applyFill="1" applyBorder="1" applyAlignment="1">
      <x:alignment vertical="center" wrapText="1"/>
    </x:xf>
    <x:xf numFmtId="0" fontId="16" fillId="15" borderId="9" xfId="0" applyNumberFormat="1" applyFont="1" applyFill="1" applyBorder="1" applyAlignment="1">
      <x:alignment vertical="center" wrapText="1"/>
    </x:xf>
    <x:xf numFmtId="0" fontId="16" fillId="16" borderId="9" xfId="0" applyNumberFormat="1" applyFont="1" applyFill="1" applyBorder="1" applyAlignment="1">
      <x:alignment vertical="center" wrapText="1"/>
    </x:xf>
    <x:xf numFmtId="0" fontId="16" fillId="17" borderId="9" xfId="0" applyNumberFormat="1" applyFont="1" applyFill="1" applyBorder="1" applyAlignment="1">
      <x:alignment vertical="center" wrapText="1"/>
    </x:xf>
    <x:xf numFmtId="0" fontId="16" fillId="16" borderId="10" xfId="0" applyNumberFormat="1" applyFont="1" applyFill="1" applyBorder="1" applyAlignment="1">
      <x:alignment vertical="center" wrapText="1"/>
    </x:xf>
    <x:xf numFmtId="0" fontId="9" fillId="10" borderId="11" xfId="0" applyNumberFormat="1" applyFont="1" applyFill="1" applyBorder="1" applyAlignment="1">
      <x:alignment horizontal="center" vertical="center" wrapText="1"/>
    </x:xf>
    <x:xf numFmtId="0" fontId="9" fillId="10" borderId="12" xfId="0" applyNumberFormat="1" applyFont="1" applyFill="1" applyBorder="1" applyAlignment="1">
      <x:alignment horizontal="center" vertical="center" wrapText="1"/>
    </x:xf>
    <x:xf numFmtId="0" fontId="4" fillId="4" borderId="12" xfId="0" applyNumberFormat="1" applyFont="1" applyFill="1" applyBorder="1" applyAlignment="1">
      <x:alignment horizontal="center" vertical="center"/>
    </x:xf>
    <x:xf numFmtId="0" fontId="11" fillId="7" borderId="12" xfId="0" applyNumberFormat="1" applyFont="1" applyFill="1" applyBorder="1" applyAlignment="1">
      <x:alignment horizontal="center" vertical="center"/>
    </x:xf>
    <x:xf numFmtId="0" fontId="11" fillId="12" borderId="12" xfId="0" applyNumberFormat="1" applyFont="1" applyFill="1" applyBorder="1" applyAlignment="1">
      <x:alignment horizontal="center" vertical="center"/>
    </x:xf>
    <x:xf numFmtId="0" fontId="11" fillId="12" borderId="13" xfId="0" applyNumberFormat="1" applyFont="1" applyFill="1" applyBorder="1" applyAlignment="1">
      <x:alignment horizontal="center" vertical="center"/>
    </x:xf>
    <x:xf numFmtId="0" fontId="15" fillId="0" borderId="14" xfId="0" applyNumberFormat="1" applyFont="1" applyFill="1" applyBorder="1" applyAlignment="1">
      <x:alignment horizontal="center" vertical="center" wrapText="1"/>
    </x:xf>
    <x:xf numFmtId="0" fontId="15" fillId="0" borderId="15" xfId="0" applyNumberFormat="1" applyFont="1" applyFill="1" applyBorder="1" applyAlignment="1">
      <x:alignment horizontal="center" vertical="center" wrapText="1"/>
    </x:xf>
    <x:xf numFmtId="0" fontId="15" fillId="13" borderId="15" xfId="0" applyNumberFormat="1" applyFont="1" applyFill="1" applyBorder="1" applyAlignment="1">
      <x:alignment horizontal="center" vertical="center" wrapText="1"/>
    </x:xf>
    <x:xf numFmtId="0" fontId="15" fillId="7" borderId="15" xfId="0" applyNumberFormat="1" applyFont="1" applyFill="1" applyBorder="1" applyAlignment="1">
      <x:alignment horizontal="center" vertical="center" wrapText="1"/>
    </x:xf>
    <x:xf numFmtId="0" fontId="15" fillId="8" borderId="15" xfId="0" applyNumberFormat="1" applyFont="1" applyFill="1" applyBorder="1" applyAlignment="1">
      <x:alignment horizontal="center" vertical="center" wrapText="1"/>
    </x:xf>
    <x:xf numFmtId="0" fontId="15" fillId="3" borderId="15" xfId="0" applyNumberFormat="1" applyFont="1" applyFill="1" applyBorder="1" applyAlignment="1">
      <x:alignment horizontal="center" vertical="center" wrapText="1"/>
    </x:xf>
    <x:xf numFmtId="0" fontId="15" fillId="3" borderId="16" xfId="0" applyNumberFormat="1" applyFont="1" applyFill="1" applyBorder="1" applyAlignment="1">
      <x:alignment horizontal="center" vertical="center" wrapText="1"/>
    </x:xf>
    <x:xf numFmtId="0" fontId="16" fillId="0" borderId="14" xfId="0" applyNumberFormat="1" applyFont="1" applyFill="1" applyBorder="1" applyAlignment="1">
      <x:alignment vertical="center" wrapText="1"/>
    </x:xf>
    <x:xf numFmtId="0" fontId="16" fillId="0" borderId="15" xfId="0" applyNumberFormat="1" applyFont="1" applyFill="1" applyBorder="1" applyAlignment="1">
      <x:alignment vertical="center" wrapText="1"/>
    </x:xf>
    <x:xf numFmtId="0" fontId="17" fillId="0" borderId="15" xfId="0" applyNumberFormat="1" applyFont="1" applyFill="1" applyBorder="1" applyAlignment="1">
      <x:alignment vertical="center" wrapText="1"/>
    </x:xf>
    <x:xf numFmtId="0" fontId="16" fillId="14" borderId="15" xfId="0" applyNumberFormat="1" applyFont="1" applyFill="1" applyBorder="1" applyAlignment="1">
      <x:alignment vertical="center" wrapText="1"/>
    </x:xf>
    <x:xf numFmtId="0" fontId="16" fillId="15" borderId="15" xfId="0" applyNumberFormat="1" applyFont="1" applyFill="1" applyBorder="1" applyAlignment="1">
      <x:alignment vertical="center" wrapText="1"/>
    </x:xf>
    <x:xf numFmtId="0" fontId="16" fillId="16" borderId="15" xfId="0" applyNumberFormat="1" applyFont="1" applyFill="1" applyBorder="1" applyAlignment="1">
      <x:alignment vertical="center" wrapText="1"/>
    </x:xf>
    <x:xf numFmtId="0" fontId="16" fillId="17" borderId="15" xfId="0" applyNumberFormat="1" applyFont="1" applyFill="1" applyBorder="1" applyAlignment="1">
      <x:alignment vertical="center" wrapText="1"/>
    </x:xf>
    <x:xf numFmtId="0" fontId="16" fillId="16" borderId="16" xfId="0" applyNumberFormat="1" applyFont="1" applyFill="1" applyBorder="1" applyAlignment="1">
      <x:alignment vertical="center" wrapText="1"/>
    </x:xf>
    <x:xf numFmtId="0" fontId="16" fillId="0" borderId="17" xfId="0" applyNumberFormat="1" applyFont="1" applyFill="1" applyBorder="1" applyAlignment="1">
      <x:alignment vertical="center" wrapText="1"/>
    </x:xf>
    <x:xf numFmtId="0" fontId="16" fillId="0" borderId="18" xfId="0" applyNumberFormat="1" applyFont="1" applyFill="1" applyBorder="1" applyAlignment="1">
      <x:alignment vertical="center" wrapText="1"/>
    </x:xf>
    <x:xf numFmtId="0" fontId="17" fillId="0" borderId="18" xfId="0" applyNumberFormat="1" applyFont="1" applyFill="1" applyBorder="1" applyAlignment="1">
      <x:alignment vertical="center" wrapText="1"/>
    </x:xf>
    <x:xf numFmtId="0" fontId="16" fillId="14" borderId="18" xfId="0" applyNumberFormat="1" applyFont="1" applyFill="1" applyBorder="1" applyAlignment="1">
      <x:alignment vertical="center" wrapText="1"/>
    </x:xf>
    <x:xf numFmtId="0" fontId="16" fillId="15" borderId="18" xfId="0" applyNumberFormat="1" applyFont="1" applyFill="1" applyBorder="1" applyAlignment="1">
      <x:alignment vertical="center" wrapText="1"/>
    </x:xf>
    <x:xf numFmtId="0" fontId="16" fillId="16" borderId="18" xfId="0" applyNumberFormat="1" applyFont="1" applyFill="1" applyBorder="1" applyAlignment="1">
      <x:alignment vertical="center" wrapText="1"/>
    </x:xf>
    <x:xf numFmtId="0" fontId="16" fillId="17" borderId="18" xfId="0" applyNumberFormat="1" applyFont="1" applyFill="1" applyBorder="1" applyAlignment="1">
      <x:alignment vertical="center" wrapText="1"/>
    </x:xf>
    <x:xf numFmtId="0" fontId="16" fillId="16" borderId="19" xfId="0" applyNumberFormat="1" applyFont="1" applyFill="1" applyBorder="1" applyAlignment="1">
      <x:alignment vertical="center" wrapText="1"/>
    </x:xf>
    <x:xf numFmtId="0" fontId="18" fillId="4" borderId="0" xfId="0" applyNumberFormat="1" applyFont="1" applyFill="1" applyBorder="1"/>
    <x:xf numFmtId="0" fontId="18" fillId="4" borderId="0" xfId="0" applyNumberFormat="1" applyFont="1" applyFill="1" applyBorder="1" applyAlignment="1">
      <x:alignment wrapText="1"/>
    </x:xf>
    <x:xf numFmtId="0" fontId="18" fillId="4" borderId="0" xfId="0" applyNumberFormat="1" applyFont="1" applyFill="1" applyBorder="1" applyAlignment="1">
      <x:alignment horizontal="center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8" fillId="4" borderId="1" xfId="0" applyNumberFormat="1" applyFont="1" applyFill="1" applyBorder="1"/>
    <x:xf numFmtId="0" fontId="18" fillId="4" borderId="1" xfId="0" applyNumberFormat="1" applyFont="1" applyFill="1" applyBorder="1" applyAlignment="1">
      <x:alignment wrapText="1"/>
    </x:xf>
    <x:xf numFmtId="0" fontId="18" fillId="4" borderId="1" xfId="0" applyNumberFormat="1" applyFont="1" applyFill="1" applyBorder="1" applyAlignment="1">
      <x:alignment horizontal="center" wrapText="1"/>
    </x:xf>
    <x:xf numFmtId="0" fontId="18" fillId="4" borderId="1" xfId="0" applyNumberFormat="1" applyFont="1" applyFill="1" applyBorder="1" applyAlignment="1">
      <x:alignment horizontal="center" vertical="center" wrapText="1"/>
    </x:xf>
    <x:xf numFmtId="0" fontId="16" fillId="0" borderId="0" xfId="0" applyNumberFormat="1" applyFont="1" applyFill="1" applyBorder="1" applyAlignment="1">
      <x:alignment vertical="top" wrapText="1"/>
    </x:xf>
    <x:xf numFmtId="0" fontId="16" fillId="0" borderId="1" xfId="0" applyNumberFormat="1" applyFont="1" applyFill="1" applyBorder="1" applyAlignment="1">
      <x:alignment vertical="top" wrapText="1"/>
    </x:xf>
    <x:xf numFmtId="0" fontId="17" fillId="0" borderId="0" xfId="0" applyNumberFormat="1" applyFont="1" applyFill="1" applyBorder="1" applyAlignment="1">
      <x:alignment vertical="top" wrapText="1"/>
    </x:xf>
    <x:xf numFmtId="0" fontId="17" fillId="0" borderId="1" xfId="0" applyNumberFormat="1" applyFont="1" applyFill="1" applyBorder="1" applyAlignment="1">
      <x:alignment vertical="top" wrapText="1"/>
    </x:xf>
    <x:xf numFmtId="200" fontId="16" fillId="0" borderId="0" xfId="0" applyNumberFormat="1" applyFont="1" applyFill="1" applyBorder="1" applyAlignment="1">
      <x:alignment vertical="top" wrapText="1"/>
    </x:xf>
    <x:xf numFmtId="200" fontId="16" fillId="0" borderId="1" xfId="0" applyNumberFormat="1" applyFont="1" applyFill="1" applyBorder="1" applyAlignment="1">
      <x:alignment vertical="top" wrapText="1"/>
    </x:xf>
    <x:xf numFmtId="203" fontId="16" fillId="0" borderId="0" xfId="0" applyNumberFormat="1" applyFont="1" applyFill="1" applyBorder="1" applyAlignment="1">
      <x:alignment vertical="top" wrapText="1"/>
    </x:xf>
    <x:xf numFmtId="203" fontId="16" fillId="0" borderId="1" xfId="0" applyNumberFormat="1" applyFont="1" applyFill="1" applyBorder="1" applyAlignment="1">
      <x:alignment vertical="top" wrapText="1"/>
    </x:xf>
    <x:xf numFmtId="0" fontId="18" fillId="4" borderId="2" xfId="0" applyNumberFormat="1" applyFont="1" applyFill="1" applyBorder="1" applyAlignment="1">
      <x:alignment horizontal="center" vertical="center" wrapText="1"/>
    </x:xf>
    <x:xf numFmtId="0" fontId="18" fillId="4" borderId="3" xfId="0" applyNumberFormat="1" applyFont="1" applyFill="1" applyBorder="1" applyAlignment="1">
      <x:alignment horizontal="center" vertical="center" wrapText="1"/>
    </x:xf>
    <x:xf numFmtId="0" fontId="18" fillId="4" borderId="4" xfId="0" applyNumberFormat="1" applyFont="1" applyFill="1" applyBorder="1" applyAlignment="1">
      <x:alignment horizontal="center" vertical="center" wrapText="1"/>
    </x:xf>
    <x:xf numFmtId="0" fontId="16" fillId="0" borderId="5" xfId="0" applyNumberFormat="1" applyFont="1" applyFill="1" applyBorder="1" applyAlignment="1">
      <x:alignment vertical="top" wrapText="1"/>
    </x:xf>
    <x:xf numFmtId="0" fontId="16" fillId="0" borderId="6" xfId="0" applyNumberFormat="1" applyFont="1" applyFill="1" applyBorder="1" applyAlignment="1">
      <x:alignment vertical="top" wrapText="1"/>
    </x:xf>
    <x:xf numFmtId="0" fontId="17" fillId="0" borderId="6" xfId="0" applyNumberFormat="1" applyFont="1" applyFill="1" applyBorder="1" applyAlignment="1">
      <x:alignment vertical="top" wrapText="1"/>
    </x:xf>
    <x:xf numFmtId="200" fontId="16" fillId="0" borderId="6" xfId="0" applyNumberFormat="1" applyFont="1" applyFill="1" applyBorder="1" applyAlignment="1">
      <x:alignment vertical="top" wrapText="1"/>
    </x:xf>
    <x:xf numFmtId="203" fontId="16" fillId="0" borderId="6" xfId="0" applyNumberFormat="1" applyFont="1" applyFill="1" applyBorder="1" applyAlignment="1">
      <x:alignment vertical="top" wrapText="1"/>
    </x:xf>
    <x:xf numFmtId="0" fontId="16" fillId="0" borderId="7" xfId="0" applyNumberFormat="1" applyFont="1" applyFill="1" applyBorder="1" applyAlignment="1">
      <x:alignment vertical="top" wrapText="1"/>
    </x:xf>
    <x:xf numFmtId="0" fontId="16" fillId="0" borderId="8" xfId="0" applyNumberFormat="1" applyFont="1" applyFill="1" applyBorder="1" applyAlignment="1">
      <x:alignment vertical="top" wrapText="1"/>
    </x:xf>
    <x:xf numFmtId="0" fontId="16" fillId="0" borderId="9" xfId="0" applyNumberFormat="1" applyFont="1" applyFill="1" applyBorder="1" applyAlignment="1">
      <x:alignment vertical="top" wrapText="1"/>
    </x:xf>
    <x:xf numFmtId="0" fontId="17" fillId="0" borderId="9" xfId="0" applyNumberFormat="1" applyFont="1" applyFill="1" applyBorder="1" applyAlignment="1">
      <x:alignment vertical="top" wrapText="1"/>
    </x:xf>
    <x:xf numFmtId="200" fontId="16" fillId="0" borderId="9" xfId="0" applyNumberFormat="1" applyFont="1" applyFill="1" applyBorder="1" applyAlignment="1">
      <x:alignment vertical="top" wrapText="1"/>
    </x:xf>
    <x:xf numFmtId="203" fontId="16" fillId="0" borderId="9" xfId="0" applyNumberFormat="1" applyFont="1" applyFill="1" applyBorder="1" applyAlignment="1">
      <x:alignment vertical="top" wrapText="1"/>
    </x:xf>
    <x:xf numFmtId="0" fontId="16" fillId="0" borderId="10" xfId="0" applyNumberFormat="1" applyFont="1" applyFill="1" applyBorder="1" applyAlignment="1">
      <x:alignment vertical="top" wrapText="1"/>
    </x:xf>
    <x:xf numFmtId="0" fontId="18" fillId="4" borderId="11" xfId="0" applyNumberFormat="1" applyFont="1" applyFill="1" applyBorder="1" applyAlignment="1">
      <x:alignment horizontal="center" vertical="center" wrapText="1"/>
    </x:xf>
    <x:xf numFmtId="0" fontId="18" fillId="4" borderId="12" xfId="0" applyNumberFormat="1" applyFont="1" applyFill="1" applyBorder="1" applyAlignment="1">
      <x:alignment horizontal="center" vertical="center" wrapText="1"/>
    </x:xf>
    <x:xf numFmtId="0" fontId="18" fillId="4" borderId="13" xfId="0" applyNumberFormat="1" applyFont="1" applyFill="1" applyBorder="1" applyAlignment="1">
      <x:alignment horizontal="center" vertical="center" wrapText="1"/>
    </x:xf>
    <x:xf numFmtId="0" fontId="16" fillId="0" borderId="14" xfId="0" applyNumberFormat="1" applyFont="1" applyFill="1" applyBorder="1" applyAlignment="1">
      <x:alignment vertical="top" wrapText="1"/>
    </x:xf>
    <x:xf numFmtId="0" fontId="16" fillId="0" borderId="15" xfId="0" applyNumberFormat="1" applyFont="1" applyFill="1" applyBorder="1" applyAlignment="1">
      <x:alignment vertical="top" wrapText="1"/>
    </x:xf>
    <x:xf numFmtId="0" fontId="17" fillId="0" borderId="15" xfId="0" applyNumberFormat="1" applyFont="1" applyFill="1" applyBorder="1" applyAlignment="1">
      <x:alignment vertical="top" wrapText="1"/>
    </x:xf>
    <x:xf numFmtId="200" fontId="16" fillId="0" borderId="15" xfId="0" applyNumberFormat="1" applyFont="1" applyFill="1" applyBorder="1" applyAlignment="1">
      <x:alignment vertical="top" wrapText="1"/>
    </x:xf>
    <x:xf numFmtId="203" fontId="16" fillId="0" borderId="15" xfId="0" applyNumberFormat="1" applyFont="1" applyFill="1" applyBorder="1" applyAlignment="1">
      <x:alignment vertical="top" wrapText="1"/>
    </x:xf>
    <x:xf numFmtId="0" fontId="16" fillId="0" borderId="16" xfId="0" applyNumberFormat="1" applyFont="1" applyFill="1" applyBorder="1" applyAlignment="1">
      <x:alignment vertical="top" wrapText="1"/>
    </x:xf>
    <x:xf numFmtId="0" fontId="16" fillId="0" borderId="17" xfId="0" applyNumberFormat="1" applyFont="1" applyFill="1" applyBorder="1" applyAlignment="1">
      <x:alignment vertical="top" wrapText="1"/>
    </x:xf>
    <x:xf numFmtId="0" fontId="16" fillId="0" borderId="18" xfId="0" applyNumberFormat="1" applyFont="1" applyFill="1" applyBorder="1" applyAlignment="1">
      <x:alignment vertical="top" wrapText="1"/>
    </x:xf>
    <x:xf numFmtId="0" fontId="17" fillId="0" borderId="18" xfId="0" applyNumberFormat="1" applyFont="1" applyFill="1" applyBorder="1" applyAlignment="1">
      <x:alignment vertical="top" wrapText="1"/>
    </x:xf>
    <x:xf numFmtId="200" fontId="16" fillId="0" borderId="18" xfId="0" applyNumberFormat="1" applyFont="1" applyFill="1" applyBorder="1" applyAlignment="1">
      <x:alignment vertical="top" wrapText="1"/>
    </x:xf>
    <x:xf numFmtId="203" fontId="16" fillId="0" borderId="18" xfId="0" applyNumberFormat="1" applyFont="1" applyFill="1" applyBorder="1" applyAlignment="1">
      <x:alignment vertical="top" wrapText="1"/>
    </x:xf>
    <x:xf numFmtId="0" fontId="16" fillId="0" borderId="19" xfId="0" applyNumberFormat="1" applyFont="1" applyFill="1" applyBorder="1" applyAlignment="1">
      <x:alignment vertical="top" wrapText="1"/>
    </x:xf>
    <x:xf numFmtId="200" fontId="6" fillId="0" borderId="9" xfId="0" applyNumberFormat="1" applyFont="1" applyFill="1" applyBorder="1" applyAlignment="1">
      <x:alignment vertical="center" wrapText="1"/>
    </x:xf>
    <x:xf numFmtId="200" fontId="6" fillId="0" borderId="18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9" fillId="13" borderId="0" xfId="0" applyNumberFormat="1" applyFont="1" applyFill="1" applyBorder="1"/>
    <x:xf numFmtId="0" fontId="19" fillId="13" borderId="0" xfId="0" applyNumberFormat="1" applyFont="1" applyFill="1" applyBorder="1" applyAlignment="1">
      <x:alignment wrapText="1"/>
    </x:xf>
    <x:xf numFmtId="0" fontId="19" fillId="13" borderId="0" xfId="0" applyNumberFormat="1" applyFont="1" applyFill="1" applyBorder="1" applyAlignment="1">
      <x:alignment horizontal="center" wrapText="1"/>
    </x:xf>
    <x:xf numFmtId="0" fontId="19" fillId="13" borderId="0" xfId="0" applyNumberFormat="1" applyFont="1" applyFill="1" applyBorder="1" applyAlignment="1">
      <x:alignment horizontal="center" vertical="center" wrapText="1"/>
    </x:xf>
    <x:xf numFmtId="0" fontId="0" fillId="13" borderId="1" xfId="0" applyNumberFormat="1" applyFont="1" applyFill="1" applyBorder="1"/>
    <x:xf numFmtId="0" fontId="19" fillId="13" borderId="1" xfId="0" applyNumberFormat="1" applyFont="1" applyFill="1" applyBorder="1"/>
    <x:xf numFmtId="0" fontId="19" fillId="13" borderId="1" xfId="0" applyNumberFormat="1" applyFont="1" applyFill="1" applyBorder="1" applyAlignment="1">
      <x:alignment wrapText="1"/>
    </x:xf>
    <x:xf numFmtId="0" fontId="19" fillId="13" borderId="1" xfId="0" applyNumberFormat="1" applyFont="1" applyFill="1" applyBorder="1" applyAlignment="1">
      <x:alignment horizontal="center" wrapText="1"/>
    </x:xf>
    <x:xf numFmtId="0" fontId="19" fillId="13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200" fontId="6" fillId="0" borderId="6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17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200" fontId="6" fillId="0" borderId="9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17" fillId="0" borderId="10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200" fontId="6" fillId="0" borderId="15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17" fillId="0" borderId="16" xfId="0" applyNumberFormat="1" applyFont="1" applyFill="1" applyBorder="1" applyAlignment="1">
      <x:alignment vertical="top" wrapText="1"/>
    </x:xf>
    <x:xf numFmtId="0" fontId="6" fillId="0" borderId="17" xfId="0" applyNumberFormat="1" applyFont="1" applyFill="1" applyBorder="1" applyAlignment="1">
      <x:alignment vertical="top" wrapText="1"/>
    </x:xf>
    <x:xf numFmtId="200" fontId="6" fillId="0" borderId="18" xfId="0" applyNumberFormat="1" applyFont="1" applyFill="1" applyBorder="1" applyAlignment="1">
      <x:alignment vertical="top" wrapText="1"/>
    </x:xf>
    <x:xf numFmtId="0" fontId="6" fillId="0" borderId="18" xfId="0" applyNumberFormat="1" applyFont="1" applyFill="1" applyBorder="1" applyAlignment="1">
      <x:alignment vertical="top" wrapText="1"/>
    </x:xf>
    <x:xf numFmtId="0" fontId="17" fillId="0" borderId="19" xfId="0" applyNumberFormat="1" applyFont="1" applyFill="1" applyBorder="1" applyAlignment="1">
      <x:alignment vertical="top" wrapText="1"/>
    </x:xf>
    <x:xf numFmtId="0" fontId="6" fillId="7" borderId="6" xfId="0" applyNumberFormat="1" applyFont="1" applyFill="1" applyBorder="1" applyAlignment="1">
      <x:alignment vertical="top" wrapText="1"/>
    </x:xf>
    <x:xf numFmtId="0" fontId="6" fillId="7" borderId="15" xfId="0" applyNumberFormat="1" applyFont="1" applyFill="1" applyBorder="1" applyAlignment="1">
      <x:alignment vertical="top" wrapText="1"/>
    </x:xf>
    <x:xf numFmtId="0" fontId="6" fillId="13" borderId="6" xfId="0" applyNumberFormat="1" applyFont="1" applyFill="1" applyBorder="1" applyAlignment="1">
      <x:alignment vertical="top" wrapText="1"/>
    </x:xf>
    <x:xf numFmtId="0" fontId="6" fillId="13" borderId="15" xfId="0" applyNumberFormat="1" applyFont="1" applyFill="1" applyBorder="1" applyAlignment="1">
      <x:alignment vertical="top" wrapText="1"/>
    </x:xf>
    <x:xf numFmtId="0" fontId="6" fillId="8" borderId="9" xfId="0" applyNumberFormat="1" applyFont="1" applyFill="1" applyBorder="1" applyAlignment="1">
      <x:alignment vertical="top" wrapText="1"/>
    </x:xf>
    <x:xf numFmtId="0" fontId="6" fillId="8" borderId="18" xfId="0" applyNumberFormat="1" applyFont="1" applyFill="1" applyBorder="1" applyAlignment="1">
      <x:alignment vertical="top" wrapText="1"/>
    </x:xf>
    <x:xf numFmtId="0" fontId="14" fillId="8" borderId="0" xfId="0" applyNumberFormat="1" applyFont="1" applyFill="1" applyBorder="1" applyAlignment="1">
      <x:alignment horizontal="center" wrapText="1"/>
    </x:xf>
    <x:xf numFmtId="0" fontId="14" fillId="8" borderId="0" xfId="0" applyNumberFormat="1" applyFont="1" applyFill="1" applyBorder="1" applyAlignment="1">
      <x:alignment horizontal="center" vertical="center" wrapText="1"/>
    </x:xf>
    <x:xf numFmtId="0" fontId="14" fillId="8" borderId="1" xfId="0" applyNumberFormat="1" applyFont="1" applyFill="1" applyBorder="1" applyAlignment="1">
      <x:alignment horizontal="center" wrapText="1"/>
    </x:xf>
    <x:xf numFmtId="0" fontId="14" fillId="8" borderId="1" xfId="0" applyNumberFormat="1" applyFont="1" applyFill="1" applyBorder="1" applyAlignment="1">
      <x:alignment horizontal="center" vertical="center" wrapText="1"/>
    </x:xf>
    <x:xf numFmtId="0" fontId="6" fillId="8" borderId="6" xfId="0" applyNumberFormat="1" applyFont="1" applyFill="1" applyBorder="1" applyAlignment="1">
      <x:alignment vertical="top" wrapText="1"/>
    </x:xf>
    <x:xf numFmtId="0" fontId="6" fillId="8" borderId="15" xfId="0" applyNumberFormat="1" applyFont="1" applyFill="1" applyBorder="1" applyAlignment="1">
      <x:alignment vertical="top" wrapText="1"/>
    </x:xf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14" fillId="3" borderId="0" xfId="0" applyNumberFormat="1" applyFont="1" applyFill="1" applyBorder="1" applyAlignment="1">
      <x:alignment vertical="center" wrapText="1"/>
    </x:xf>
    <x:xf numFmtId="0" fontId="14" fillId="3" borderId="1" xfId="0" applyNumberFormat="1" applyFont="1" applyFill="1" applyBorder="1"/>
    <x:xf numFmtId="0" fontId="14" fillId="3" borderId="1" xfId="0" applyNumberFormat="1" applyFont="1" applyFill="1" applyBorder="1" applyAlignment="1">
      <x:alignment wrapText="1"/>
    </x:xf>
    <x:xf numFmtId="0" fontId="14" fillId="3" borderId="1" xfId="0" applyNumberFormat="1" applyFont="1" applyFill="1" applyBorder="1" applyAlignment="1">
      <x:alignment vertical="center" wrapText="1"/>
    </x:xf>
    <x:xf numFmtId="0" fontId="6" fillId="3" borderId="6" xfId="0" applyNumberFormat="1" applyFont="1" applyFill="1" applyBorder="1" applyAlignment="1">
      <x:alignment vertical="top" wrapText="1"/>
    </x:xf>
    <x:xf numFmtId="0" fontId="6" fillId="3" borderId="15" xfId="0" applyNumberFormat="1" applyFont="1" applyFill="1" applyBorder="1" applyAlignment="1">
      <x:alignment vertical="top" wrapText="1"/>
    </x:xf>
    <x:xf numFmtId="0" fontId="6" fillId="12" borderId="6" xfId="0" applyNumberFormat="1" applyFont="1" applyFill="1" applyBorder="1" applyAlignment="1">
      <x:alignment vertical="top" wrapText="1"/>
    </x:xf>
    <x:xf numFmtId="0" fontId="6" fillId="12" borderId="15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20" fillId="18" borderId="0" xfId="0" applyNumberFormat="1" applyFont="1" applyFill="1" applyBorder="1"/>
    <x:xf numFmtId="0" fontId="20" fillId="18" borderId="0" xfId="0" applyNumberFormat="1" applyFont="1" applyFill="1" applyBorder="1" applyAlignment="1">
      <x:alignment horizontal="center"/>
    </x:xf>
    <x:xf numFmtId="0" fontId="20" fillId="18" borderId="0" xfId="0" applyNumberFormat="1" applyFont="1" applyFill="1" applyBorder="1" applyAlignment="1">
      <x:alignment horizontal="center" vertical="center"/>
    </x:xf>
    <x:xf numFmtId="0" fontId="0" fillId="18" borderId="1" xfId="0" applyNumberFormat="1" applyFont="1" applyFill="1" applyBorder="1"/>
    <x:xf numFmtId="0" fontId="20" fillId="18" borderId="1" xfId="0" applyNumberFormat="1" applyFont="1" applyFill="1" applyBorder="1"/>
    <x:xf numFmtId="0" fontId="20" fillId="18" borderId="1" xfId="0" applyNumberFormat="1" applyFont="1" applyFill="1" applyBorder="1" applyAlignment="1">
      <x:alignment horizontal="center"/>
    </x:xf>
    <x:xf numFmtId="0" fontId="20" fillId="18" borderId="1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horizontal="center" wrapText="1"/>
    </x:xf>
    <x:xf numFmtId="0" fontId="9" fillId="3" borderId="0" xfId="0" applyNumberFormat="1" applyFont="1" applyFill="1" applyBorder="1" applyAlignment="1">
      <x:alignment horizontal="center" vertical="center" wrapText="1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wrapText="1"/>
    </x:xf>
    <x:xf numFmtId="0" fontId="9" fillId="3" borderId="1" xfId="0" applyNumberFormat="1" applyFont="1" applyFill="1" applyBorder="1" applyAlignment="1">
      <x:alignment horizontal="center" wrapText="1"/>
    </x:xf>
    <x:xf numFmtId="0" fontId="9" fillId="3" borderId="1" xfId="0" applyNumberFormat="1" applyFont="1" applyFill="1" applyBorder="1" applyAlignment="1">
      <x:alignment horizontal="center" vertical="center" wrapText="1"/>
    </x:xf>
    <x:xf numFmtId="0" fontId="9" fillId="3" borderId="2" xfId="0" applyNumberFormat="1" applyFont="1" applyFill="1" applyBorder="1" applyAlignment="1">
      <x:alignment horizontal="center" vertical="center" wrapText="1"/>
    </x:xf>
    <x:xf numFmtId="0" fontId="9" fillId="3" borderId="3" xfId="0" applyNumberFormat="1" applyFont="1" applyFill="1" applyBorder="1" applyAlignment="1">
      <x:alignment horizontal="center" vertical="center" wrapText="1"/>
    </x:xf>
    <x:xf numFmtId="0" fontId="9" fillId="3" borderId="4" xfId="0" applyNumberFormat="1" applyFont="1" applyFill="1" applyBorder="1" applyAlignment="1">
      <x:alignment horizontal="center" vertical="center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204" fontId="16" fillId="0" borderId="6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21" fillId="19" borderId="0" xfId="0" applyNumberFormat="1" applyFont="1" applyFill="1" applyBorder="1"/>
    <x:xf numFmtId="0" fontId="21" fillId="19" borderId="0" xfId="0" applyNumberFormat="1" applyFont="1" applyFill="1" applyBorder="1" applyAlignment="1">
      <x:alignment horizontal="center"/>
    </x:xf>
    <x:xf numFmtId="0" fontId="21" fillId="19" borderId="0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/>
    <x:xf numFmtId="0" fontId="22" fillId="20" borderId="0" xfId="0" applyNumberFormat="1" applyFont="1" applyFill="1" applyBorder="1"/>
    <x:xf numFmtId="0" fontId="22" fillId="20" borderId="0" xfId="0" applyNumberFormat="1" applyFont="1" applyFill="1" applyBorder="1" applyAlignment="1">
      <x:alignment horizontal="center"/>
    </x:xf>
    <x:xf numFmtId="0" fontId="22" fillId="20" borderId="0" xfId="0" applyNumberFormat="1" applyFont="1" applyFill="1" applyBorder="1" applyAlignment="1">
      <x:alignment horizontal="center" vertical="center"/>
    </x:xf>
    <x:xf numFmtId="0" fontId="0" fillId="21" borderId="0" xfId="0" applyNumberFormat="1" applyFont="1" applyFill="1" applyBorder="1"/>
    <x:xf numFmtId="0" fontId="23" fillId="21" borderId="0" xfId="0" applyNumberFormat="1" applyFont="1" applyFill="1" applyBorder="1"/>
    <x:xf numFmtId="0" fontId="23" fillId="21" borderId="0" xfId="0" applyNumberFormat="1" applyFont="1" applyFill="1" applyBorder="1" applyAlignment="1">
      <x:alignment horizontal="center"/>
    </x:xf>
    <x:xf numFmtId="0" fontId="23" fillId="21" borderId="0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/>
    <x:xf numFmtId="0" fontId="24" fillId="22" borderId="0" xfId="0" applyNumberFormat="1" applyFont="1" applyFill="1" applyBorder="1"/>
    <x:xf numFmtId="0" fontId="24" fillId="22" borderId="0" xfId="0" applyNumberFormat="1" applyFont="1" applyFill="1" applyBorder="1" applyAlignment="1">
      <x:alignment wrapText="1"/>
    </x:xf>
    <x:xf numFmtId="0" fontId="24" fillId="22" borderId="0" xfId="0" applyNumberFormat="1" applyFont="1" applyFill="1" applyBorder="1" applyAlignment="1">
      <x:alignment horizontal="center" wrapText="1"/>
    </x:xf>
    <x:xf numFmtId="0" fontId="24" fillId="22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/>
    <x:xf numFmtId="205" fontId="6" fillId="0" borderId="0" xfId="0" applyNumberFormat="1" applyFont="1" applyFill="1" applyBorder="1"/>
    <x:xf numFmtId="0" fontId="6" fillId="0" borderId="20" xfId="0" applyNumberFormat="1" applyFont="1" applyFill="1" applyBorder="1"/>
    <x:xf numFmtId="0" fontId="6" fillId="0" borderId="21" xfId="0" applyNumberFormat="1" applyFont="1" applyFill="1" applyBorder="1"/>
    <x:xf numFmtId="205" fontId="6" fillId="0" borderId="22" xfId="0" applyNumberFormat="1" applyFont="1" applyFill="1" applyBorder="1"/>
    <x:xf numFmtId="0" fontId="6" fillId="0" borderId="23" xfId="0" applyNumberFormat="1" applyFont="1" applyFill="1" applyBorder="1"/>
    <x:xf numFmtId="0" fontId="6" fillId="0" xfId="0" applyNumberFormat="1" applyFont="1" applyFill="1" applyBorder="0"/>
    <x:xf numFmtId="205" fontId="6" fillId="0" borderId="24" xfId="0" applyNumberFormat="1" applyFont="1" applyFill="1" applyBorder="1"/>
    <x:xf numFmtId="0" fontId="6" fillId="0" borderId="25" xfId="0" applyNumberFormat="1" applyFont="1" applyFill="1" applyBorder="1"/>
    <x:xf numFmtId="0" fontId="6" fillId="0" borderId="26" xfId="0" applyNumberFormat="1" applyFont="1" applyFill="1" applyBorder="1"/>
    <x:xf numFmtId="205" fontId="6" fillId="0" borderId="27" xfId="0" applyNumberFormat="1" applyFont="1" applyFill="1" applyBorder="1"/>
    <x:xf numFmtId="0" fontId="6" fillId="0" borderId="20" xfId="0" applyNumberFormat="1" applyFont="1" applyFill="1" applyBorder="1" applyAlignment="1">
      <x:alignment wrapText="1"/>
    </x:xf>
    <x:xf numFmtId="0" fontId="6" fillId="0" borderId="21" xfId="0" applyNumberFormat="1" applyFont="1" applyFill="1" applyBorder="1" applyAlignment="1">
      <x:alignment wrapText="1"/>
    </x:xf>
    <x:xf numFmtId="205" fontId="6" fillId="0" borderId="22" xfId="0" applyNumberFormat="1" applyFont="1" applyFill="1" applyBorder="1" applyAlignment="1">
      <x:alignment wrapText="1"/>
    </x:xf>
    <x:xf numFmtId="0" fontId="6" fillId="0" borderId="23" xfId="0" applyNumberFormat="1" applyFont="1" applyFill="1" applyBorder="1" applyAlignment="1">
      <x:alignment wrapText="1"/>
    </x:xf>
    <x:xf numFmtId="0" fontId="6" fillId="0" xfId="0" applyNumberFormat="1" applyFont="1" applyFill="1" applyBorder="0" applyAlignment="1">
      <x:alignment wrapText="1"/>
    </x:xf>
    <x:xf numFmtId="205" fontId="6" fillId="0" borderId="24" xfId="0" applyNumberFormat="1" applyFont="1" applyFill="1" applyBorder="1" applyAlignment="1">
      <x:alignment wrapText="1"/>
    </x:xf>
    <x:xf numFmtId="0" fontId="6" fillId="0" borderId="25" xfId="0" applyNumberFormat="1" applyFont="1" applyFill="1" applyBorder="1" applyAlignment="1">
      <x:alignment wrapText="1"/>
    </x:xf>
    <x:xf numFmtId="0" fontId="6" fillId="0" borderId="26" xfId="0" applyNumberFormat="1" applyFont="1" applyFill="1" applyBorder="1" applyAlignment="1">
      <x:alignment wrapText="1"/>
    </x:xf>
    <x:xf numFmtId="205" fontId="6" fillId="0" borderId="27" xfId="0" applyNumberFormat="1" applyFont="1" applyFill="1" applyBorder="1" applyAlignment="1">
      <x:alignment wrapText="1"/>
    </x:xf>
    <x:xf numFmtId="0" fontId="6" fillId="0" borderId="20" xfId="0" applyNumberFormat="1" applyFont="1" applyFill="1" applyBorder="1" applyAlignment="1">
      <x:alignment vertical="top" wrapText="1"/>
    </x:xf>
    <x:xf numFmtId="0" fontId="6" fillId="0" borderId="21" xfId="0" applyNumberFormat="1" applyFont="1" applyFill="1" applyBorder="1" applyAlignment="1">
      <x:alignment vertical="top" wrapText="1"/>
    </x:xf>
    <x:xf numFmtId="205" fontId="6" fillId="0" borderId="22" xfId="0" applyNumberFormat="1" applyFont="1" applyFill="1" applyBorder="1" applyAlignment="1">
      <x:alignment vertical="top" wrapText="1"/>
    </x:xf>
    <x:xf numFmtId="0" fontId="6" fillId="0" borderId="23" xfId="0" applyNumberFormat="1" applyFont="1" applyFill="1" applyBorder="1" applyAlignment="1">
      <x:alignment vertical="top" wrapText="1"/>
    </x:xf>
    <x:xf numFmtId="0" fontId="6" fillId="0" xfId="0" applyNumberFormat="1" applyFont="1" applyFill="1" applyBorder="0" applyAlignment="1">
      <x:alignment vertical="top" wrapText="1"/>
    </x:xf>
    <x:xf numFmtId="205" fontId="6" fillId="0" borderId="24" xfId="0" applyNumberFormat="1" applyFont="1" applyFill="1" applyBorder="1" applyAlignment="1">
      <x:alignment vertical="top" wrapText="1"/>
    </x:xf>
    <x:xf numFmtId="0" fontId="6" fillId="0" borderId="25" xfId="0" applyNumberFormat="1" applyFont="1" applyFill="1" applyBorder="1" applyAlignment="1">
      <x:alignment vertical="top" wrapText="1"/>
    </x:xf>
    <x:xf numFmtId="0" fontId="6" fillId="0" borderId="26" xfId="0" applyNumberFormat="1" applyFont="1" applyFill="1" applyBorder="1" applyAlignment="1">
      <x:alignment vertical="top" wrapText="1"/>
    </x:xf>
    <x:xf numFmtId="205" fontId="6" fillId="0" borderId="27" xfId="0" applyNumberFormat="1" applyFont="1" applyFill="1" applyBorder="1" applyAlignment="1">
      <x:alignment vertical="top" wrapText="1"/>
    </x:xf>
    <x:xf numFmtId="0" fontId="6" fillId="0" borderId="20" xfId="0" applyNumberFormat="1" applyFont="1" applyFill="1" applyBorder="1" applyAlignment="1">
      <x:alignment horizontal="center" vertical="top" wrapText="1"/>
    </x:xf>
    <x:xf numFmtId="0" fontId="6" fillId="0" borderId="23" xfId="0" applyNumberFormat="1" applyFont="1" applyFill="1" applyBorder="1" applyAlignment="1">
      <x:alignment horizontal="center" vertical="top" wrapText="1"/>
    </x:xf>
    <x:xf numFmtId="0" fontId="6" fillId="0" borderId="25" xfId="0" applyNumberFormat="1" applyFont="1" applyFill="1" applyBorder="1" applyAlignment="1">
      <x:alignment horizontal="center" vertical="top" wrapText="1"/>
    </x:xf>
    <x:xf numFmtId="0" fontId="6" fillId="0" borderId="21" xfId="0" applyNumberFormat="1" applyFont="1" applyFill="1" applyBorder="1" applyAlignment="1">
      <x:alignment horizontal="center" vertical="top" wrapText="1"/>
    </x:xf>
    <x:xf numFmtId="205" fontId="6" fillId="0" borderId="22" xfId="0" applyNumberFormat="1" applyFont="1" applyFill="1" applyBorder="1" applyAlignment="1">
      <x:alignment horizontal="center" vertical="top" wrapText="1"/>
    </x:xf>
    <x:xf numFmtId="0" fontId="6" fillId="0" xfId="0" applyNumberFormat="1" applyFont="1" applyFill="1" applyBorder="0" applyAlignment="1">
      <x:alignment horizontal="center" vertical="top" wrapText="1"/>
    </x:xf>
    <x:xf numFmtId="205" fontId="6" fillId="0" borderId="24" xfId="0" applyNumberFormat="1" applyFont="1" applyFill="1" applyBorder="1" applyAlignment="1">
      <x:alignment horizontal="center" vertical="top" wrapText="1"/>
    </x:xf>
    <x:xf numFmtId="0" fontId="6" fillId="0" borderId="26" xfId="0" applyNumberFormat="1" applyFont="1" applyFill="1" applyBorder="1" applyAlignment="1">
      <x:alignment horizontal="center" vertical="top" wrapText="1"/>
    </x:xf>
    <x:xf numFmtId="205" fontId="6" fillId="0" borderId="27" xfId="0" applyNumberFormat="1" applyFont="1" applyFill="1" applyBorder="1" applyAlignment="1">
      <x:alignment horizontal="center" vertical="top" wrapText="1"/>
    </x:xf>
    <x:xf numFmtId="0" fontId="25" fillId="19" borderId="0" xfId="0" applyNumberFormat="1" applyFont="1" applyFill="1" applyBorder="1"/>
    <x:xf numFmtId="0" fontId="25" fillId="19" borderId="0" xfId="0" applyNumberFormat="1" applyFont="1" applyFill="1" applyBorder="1" applyAlignment="1">
      <x:alignment horizontal="center"/>
    </x:xf>
    <x:xf numFmtId="0" fontId="25" fillId="19" borderId="0" xfId="0" applyNumberFormat="1" applyFont="1" applyFill="1" applyBorder="1" applyAlignment="1">
      <x:alignment horizontal="center" vertical="center"/>
    </x:xf>
    <x:xf numFmtId="0" fontId="26" fillId="20" borderId="0" xfId="0" applyNumberFormat="1" applyFont="1" applyFill="1" applyBorder="1"/>
    <x:xf numFmtId="0" fontId="26" fillId="20" borderId="0" xfId="0" applyNumberFormat="1" applyFont="1" applyFill="1" applyBorder="1" applyAlignment="1">
      <x:alignment horizontal="center"/>
    </x:xf>
    <x:xf numFmtId="0" fontId="26" fillId="20" borderId="0" xfId="0" applyNumberFormat="1" applyFont="1" applyFill="1" applyBorder="1" applyAlignment="1">
      <x:alignment horizontal="center" vertical="top"/>
    </x:xf>
    <x:xf numFmtId="0" fontId="0" fillId="23" borderId="0" xfId="0" applyNumberFormat="1" applyFont="1" applyFill="1" applyBorder="1"/>
    <x:xf numFmtId="0" fontId="27" fillId="23" borderId="0" xfId="0" applyNumberFormat="1" applyFont="1" applyFill="1" applyBorder="1"/>
    <x:xf numFmtId="0" fontId="27" fillId="23" borderId="0" xfId="0" applyNumberFormat="1" applyFont="1" applyFill="1" applyBorder="1" applyAlignment="1">
      <x:alignment wrapText="1"/>
    </x:xf>
    <x:xf numFmtId="0" fontId="27" fillId="2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4CCCC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b/>
        <x:color rgb="FF215E21"/>
      </x:font>
      <x:fill>
        <x:patternFill patternType="solid">
          <x:bgColor rgb="FFDDEFD4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d68041dbc946b7" /><Relationship Type="http://schemas.openxmlformats.org/officeDocument/2006/relationships/theme" Target="/xl/theme/theme1.xml" Id="Re8a3f48bad454d35" /><Relationship Type="http://schemas.openxmlformats.org/officeDocument/2006/relationships/sharedStrings" Target="/xl/sharedStrings.xml" Id="R154f59c8af104cac" /><Relationship Type="http://schemas.openxmlformats.org/officeDocument/2006/relationships/worksheet" Target="/xl/worksheets/sheet1.xml" Id="R0f44270d43c648b7" /><Relationship Type="http://schemas.openxmlformats.org/officeDocument/2006/relationships/worksheet" Target="/xl/worksheets/sheet2.xml" Id="R9ec3a54e1d3a4695" /><Relationship Type="http://schemas.openxmlformats.org/officeDocument/2006/relationships/worksheet" Target="/xl/worksheets/sheet3.xml" Id="Rb242723192824b5b" /><Relationship Type="http://schemas.openxmlformats.org/officeDocument/2006/relationships/worksheet" Target="/xl/worksheets/sheet4.xml" Id="R5e410627881e4fa2" /><Relationship Type="http://schemas.openxmlformats.org/officeDocument/2006/relationships/worksheet" Target="/xl/worksheets/sheet5.xml" Id="R2c1a9f85535e42d3" /><Relationship Type="http://schemas.openxmlformats.org/officeDocument/2006/relationships/worksheet" Target="/xl/worksheets/sheet6.xml" Id="R61fe8e287de14150" /><Relationship Type="http://schemas.openxmlformats.org/officeDocument/2006/relationships/worksheet" Target="/xl/worksheets/sheet7.xml" Id="R9ee9478f75b04519" /><Relationship Type="http://schemas.openxmlformats.org/officeDocument/2006/relationships/worksheet" Target="/xl/worksheets/sheet8.xml" Id="R5b3c7b1ebded4a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5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2" hidden="0" customWidth="1"/>
  </x:cols>
  <x:sheetData>
    <x:row r="1" ht="30" customHeight="1">
      <x:c r="A1" s="5" t="str">
        <x:v>បែបបទត្រួតពិនិត្យ និងវាយតម្លៃការចូលរួមរបស់សមាជិកក្រុម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13" t="str">
        <x:v>ប្រព័ន្ធគ្រប់គ្រងលិខិតអញ្ចើញឌីជីថល (E-Invitation) — បែបបទសវនកម្មការចូលរួម ការបំពេញភារកិច្ច និងការវាយតម្លៃសមិទ្ធផលក្រុម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 ht="28" customHeight="1">
      <x:c r="A3" s="22" t="str">
        <x:v>គ្រប់ដំណើរការ ការងារ ការត្រួតពិនិត្យ QA/QC និងឯកសារ ត្រូវបញ្ចប់មិនលើសពីថ្ងៃទី ០១ ខែធ្នូ ឆ្នាំ ២០២៦</x:v>
      </x:c>
      <x:c r="B3" s="22"/>
      <x:c r="C3" s="22"/>
      <x:c r="D3" s="22"/>
      <x:c r="E3" s="22"/>
      <x:c r="F3" s="22"/>
      <x:c r="G3" s="22"/>
      <x:c r="H3" s="22"/>
      <x:c r="I3" s="22"/>
      <x:c r="J3" s="22"/>
    </x:row>
    <x:row r="5">
      <x:c r="A5" s="31" t="str">
        <x:v>ព័ត៌មានគម្រោង</x:v>
      </x:c>
      <x:c r="B5" s="31"/>
      <x:c r="C5" s="31"/>
      <x:c r="D5" s="39" t="str">
        <x:v>ចំនួនសមាជិក</x:v>
      </x:c>
      <x:c r="E5" s="39"/>
      <x:c r="F5" s="39" t="str">
        <x:v>ពិន្ទុមធ្យមក្រុម</x:v>
      </x:c>
      <x:c r="G5" s="39"/>
      <x:c r="H5" s="39" t="str">
        <x:v>ការងារសរុប</x:v>
      </x:c>
      <x:c r="I5" s="39"/>
      <x:c r="J5" s="47" t="str">
        <x:v>អត្រាបញ្ចប់</x:v>
      </x:c>
    </x:row>
    <x:row r="6">
      <x:c r="A6" s="60" t="str">
        <x:v>ថ្ងៃចាប់ផ្តើមត្រួតពិនិត្យ</x:v>
      </x:c>
      <x:c r="B6" s="61" t="n">
        <x:v>46274</x:v>
      </x:c>
      <x:c r="C6" s="62"/>
      <x:c r="D6" s="83" t="n">
        <x:f>COUNTA('វាយតម្លៃក្រុម'!B8:B27)</x:f>
        <x:v>6</x:v>
      </x:c>
      <x:c r="E6" s="83"/>
      <x:c r="F6" s="98" t="str">
        <x:f>IF(COUNT('វាយតម្លៃក្រុម'!AM8:AM27)=0,"",AVERAGE('វាយតម្លៃក្រុម'!AM8:AM27))</x:f>
      </x:c>
      <x:c r="G6" s="83"/>
      <x:c r="H6" s="83" t="n">
        <x:f>COUNTA('តាមដានការងារ'!C6:C65)</x:f>
        <x:v>37</x:v>
      </x:c>
      <x:c r="I6" s="83"/>
      <x:c r="J6" s="96" t="n">
        <x:f>IFERROR(COUNTIF('តាមដានការងារ'!K6:K65,"បានបញ្ចប់")/COUNTA('តាមដានការងារ'!C6:C65),0)</x:f>
        <x:v>0.5135135135135135</x:v>
      </x:c>
    </x:row>
    <x:row r="7">
      <x:c r="A7" s="63" t="str">
        <x:v>ថ្ងៃបញ្ចប់ចុងក្រោយ</x:v>
      </x:c>
      <x:c r="B7" s="64" t="n">
        <x:v>46357</x:v>
      </x:c>
      <x:c r="C7" s="65"/>
      <x:c r="D7" s="83"/>
      <x:c r="E7" s="83"/>
      <x:c r="F7" s="83"/>
      <x:c r="G7" s="83"/>
      <x:c r="H7" s="83"/>
      <x:c r="I7" s="83"/>
      <x:c r="J7" s="91"/>
    </x:row>
    <x:row r="8">
      <x:c r="A8" s="63" t="str">
        <x:v>រយៈពេលតាមដាន</x:v>
      </x:c>
      <x:c r="B8" s="66" t="str">
        <x:v>១២ សប្ដាហ៍</x:v>
      </x:c>
      <x:c r="C8" s="65"/>
    </x:row>
    <x:row r="9">
      <x:c r="A9" s="67" t="str">
        <x:v>វដ្តត្រួតពិនិត្យ</x:v>
      </x:c>
      <x:c r="B9" s="68" t="str">
        <x:v>ប្រចាំសប្ដាហ៍</x:v>
      </x:c>
      <x:c r="C9" s="69"/>
    </x:row>
    <x:row r="11">
      <x:c r="A11" s="31" t="str">
        <x:v>សមាសធាតុវាយតម្លៃ និងទម្ងន់ពិន្ទុ</x:v>
      </x:c>
      <x:c r="B11" s="31"/>
      <x:c r="C11" s="31"/>
      <x:c r="D11" s="31"/>
      <x:c r="E11" s="31"/>
      <x:c r="G11" s="39" t="str">
        <x:v>ផែនការតាមដានរហូតដល់ថ្ងៃទី ០១ ធ្នូ ២០២៦</x:v>
      </x:c>
      <x:c r="H11" s="39"/>
      <x:c r="I11" s="39"/>
      <x:c r="J11" s="39"/>
    </x:row>
    <x:row r="12">
      <x:c r="A12" s="112" t="str">
        <x:v>ល.រ</x:v>
      </x:c>
      <x:c r="B12" s="113" t="str">
        <x:v>សមាសធាតុវាយតម្លៃ</x:v>
      </x:c>
      <x:c r="C12" s="113" t="str">
        <x:v>ទម្ងន់</x:v>
      </x:c>
      <x:c r="D12" s="113" t="str">
        <x:v>ប្រភពភស្តុតាង</x:v>
      </x:c>
      <x:c r="E12" s="114" t="str">
        <x:v>កំណត់សម្គាល់</x:v>
      </x:c>
      <x:c r="G12" s="140" t="str">
        <x:v>វគ្គ</x:v>
      </x:c>
      <x:c r="H12" s="141" t="str">
        <x:v>រយៈពេល</x:v>
      </x:c>
      <x:c r="I12" s="141" t="str">
        <x:v>គោលដៅ</x:v>
      </x:c>
      <x:c r="J12" s="142" t="str">
        <x:v>Output / Evidence</x:v>
      </x:c>
    </x:row>
    <x:row r="13">
      <x:c r="A13" s="63" t="n">
        <x:v>1</x:v>
      </x:c>
      <x:c r="B13" s="66" t="str">
        <x:v>វត្តមាន</x:v>
      </x:c>
      <x:c r="C13" s="115" t="n">
        <x:v>0.1</x:v>
      </x:c>
      <x:c r="D13" s="126" t="str">
        <x:v>Weekly Audit</x:v>
      </x:c>
      <x:c r="E13" s="116" t="str">
        <x:v>គណនាស្វ័យប្រវត្តិ</x:v>
      </x:c>
      <x:c r="G13" s="63" t="str">
        <x:v>១</x:v>
      </x:c>
      <x:c r="H13" s="66" t="str">
        <x:v>09–15 Sep</x:v>
      </x:c>
      <x:c r="I13" s="66" t="str">
        <x:v>ផ្ទៀងផ្ទាត់ Team Owner / GitHub / Evidence</x:v>
      </x:c>
      <x:c r="J13" s="143" t="str">
        <x:v>Owner mapping + Audit baseline</x:v>
      </x:c>
    </x:row>
    <x:row r="14">
      <x:c r="A14" s="63" t="n">
        <x:v>2</x:v>
      </x:c>
      <x:c r="B14" s="66" t="str">
        <x:v>ការចូលរួម និងទំនាក់ទំនង</x:v>
      </x:c>
      <x:c r="C14" s="115" t="n">
        <x:v>0.1</x:v>
      </x:c>
      <x:c r="D14" s="126" t="str">
        <x:v>Meeting / Team</x:v>
      </x:c>
      <x:c r="E14" s="116" t="str">
        <x:v>0–100</x:v>
      </x:c>
      <x:c r="G14" s="63" t="str">
        <x:v>២</x:v>
      </x:c>
      <x:c r="H14" s="66" t="str">
        <x:v>16–30 Sep</x:v>
      </x:c>
      <x:c r="I14" s="66" t="str">
        <x:v>Security remediation: credential + Git history</x:v>
      </x:c>
      <x:c r="J14" s="143" t="str">
        <x:v>Incident closure evidence</x:v>
      </x:c>
    </x:row>
    <x:row r="15">
      <x:c r="A15" s="63" t="n">
        <x:v>3</x:v>
      </x:c>
      <x:c r="B15" s="66" t="str">
        <x:v>ការបំពេញការងារដែលបានចាត់តាំង</x:v>
      </x:c>
      <x:c r="C15" s="115" t="n">
        <x:v>0.25</x:v>
      </x:c>
      <x:c r="D15" s="126" t="str">
        <x:v>Task Tracker</x:v>
      </x:c>
      <x:c r="E15" s="116" t="str">
        <x:v>0–100</x:v>
      </x:c>
      <x:c r="G15" s="63" t="str">
        <x:v>៣</x:v>
      </x:c>
      <x:c r="H15" s="66" t="str">
        <x:v>01–27 Oct</x:v>
      </x:c>
      <x:c r="I15" s="66" t="str">
        <x:v>Live integrations: Auth / ABA / Telegram / Email / Storage</x:v>
      </x:c>
      <x:c r="J15" s="143" t="str">
        <x:v>Integration test evidence</x:v>
      </x:c>
    </x:row>
    <x:row r="16">
      <x:c r="A16" s="63" t="n">
        <x:v>4</x:v>
      </x:c>
      <x:c r="B16" s="66" t="str">
        <x:v>ការគោរព Deadline</x:v>
      </x:c>
      <x:c r="C16" s="115" t="n">
        <x:v>0.1</x:v>
      </x:c>
      <x:c r="D16" s="126" t="str">
        <x:v>Task Tracker</x:v>
      </x:c>
      <x:c r="E16" s="116" t="str">
        <x:v>0–100</x:v>
      </x:c>
      <x:c r="G16" s="63" t="str">
        <x:v>៤</x:v>
      </x:c>
      <x:c r="H16" s="66" t="str">
        <x:v>28 Oct–10 Nov</x:v>
      </x:c>
      <x:c r="I16" s="66" t="str">
        <x:v>Deployment + Staging E2E / QA/QC</x:v>
      </x:c>
      <x:c r="J16" s="143" t="str">
        <x:v>Deployment logs + E2E report</x:v>
      </x:c>
    </x:row>
    <x:row r="17">
      <x:c r="A17" s="63" t="n">
        <x:v>5</x:v>
      </x:c>
      <x:c r="B17" s="66" t="str">
        <x:v>គុណភាពការងារ</x:v>
      </x:c>
      <x:c r="C17" s="115" t="n">
        <x:v>0.15</x:v>
      </x:c>
      <x:c r="D17" s="126" t="str">
        <x:v>QA / Review</x:v>
      </x:c>
      <x:c r="E17" s="116" t="str">
        <x:v>0–100</x:v>
      </x:c>
      <x:c r="G17" s="63" t="str">
        <x:v>៥</x:v>
      </x:c>
      <x:c r="H17" s="66" t="str">
        <x:v>11–24 Nov</x:v>
      </x:c>
      <x:c r="I17" s="66" t="str">
        <x:v>Documentation + A11y + Performance + Final Fix</x:v>
      </x:c>
      <x:c r="J17" s="143" t="str">
        <x:v>Final report + optimization evidence</x:v>
      </x:c>
    </x:row>
    <x:row r="18">
      <x:c r="A18" s="63" t="n">
        <x:v>6</x:v>
      </x:c>
      <x:c r="B18" s="66" t="str">
        <x:v>Git / GitHub Contribution</x:v>
      </x:c>
      <x:c r="C18" s="115" t="n">
        <x:v>0.1</x:v>
      </x:c>
      <x:c r="D18" s="126" t="str">
        <x:v>PR / Commit / Issue</x:v>
      </x:c>
      <x:c r="E18" s="116" t="str">
        <x:v>0–100</x:v>
      </x:c>
      <x:c r="G18" s="67" t="str">
        <x:v>៦</x:v>
      </x:c>
      <x:c r="H18" s="68" t="str">
        <x:v>25 Nov–01 Dec</x:v>
      </x:c>
      <x:c r="I18" s="68" t="str">
        <x:v>Final Regression / Code Freeze / Demo / Submission</x:v>
      </x:c>
      <x:c r="J18" s="144" t="str">
        <x:v>Final build + archive + submission</x:v>
      </x:c>
    </x:row>
    <x:row r="19">
      <x:c r="A19" s="63" t="n">
        <x:v>7</x:v>
      </x:c>
      <x:c r="B19" s="66" t="str">
        <x:v>Testing / QA / Bug Fix</x:v>
      </x:c>
      <x:c r="C19" s="115" t="n">
        <x:v>0.05</x:v>
      </x:c>
      <x:c r="D19" s="126" t="str">
        <x:v>Test Evidence</x:v>
      </x:c>
      <x:c r="E19" s="116" t="str">
        <x:v>0–100</x:v>
      </x:c>
    </x:row>
    <x:row r="20">
      <x:c r="A20" s="63" t="n">
        <x:v>8</x:v>
      </x:c>
      <x:c r="B20" s="66" t="str">
        <x:v>Documentation / Report</x:v>
      </x:c>
      <x:c r="C20" s="115" t="n">
        <x:v>0.05</x:v>
      </x:c>
      <x:c r="D20" s="126" t="str">
        <x:v>Report / Document</x:v>
      </x:c>
      <x:c r="E20" s="116" t="str">
        <x:v>0–100</x:v>
      </x:c>
      <x:c r="G20" s="156" t="str">
        <x:v>កម្រិតវាយតម្លៃ</x:v>
      </x:c>
      <x:c r="H20" s="157"/>
      <x:c r="I20" s="157"/>
      <x:c r="J20" s="158"/>
    </x:row>
    <x:row r="21">
      <x:c r="A21" s="63" t="n">
        <x:v>9</x:v>
      </x:c>
      <x:c r="B21" s="66" t="str">
        <x:v>Initiative &amp; Problem Solving</x:v>
      </x:c>
      <x:c r="C21" s="115" t="n">
        <x:v>0.05</x:v>
      </x:c>
      <x:c r="D21" s="126" t="str">
        <x:v>Team Review</x:v>
      </x:c>
      <x:c r="E21" s="116" t="str">
        <x:v>0–100</x:v>
      </x:c>
      <x:c r="G21" s="63" t="str">
        <x:v>90–100</x:v>
      </x:c>
      <x:c r="H21" s="66" t="str">
        <x:v>ល្អប្រសើរ</x:v>
      </x:c>
      <x:c r="I21" s="66" t="str">
        <x:v>80–89</x:v>
      </x:c>
      <x:c r="J21" s="116" t="str">
        <x:v>ល្អ</x:v>
      </x:c>
    </x:row>
    <x:row r="22">
      <x:c r="A22" s="67" t="n">
        <x:v>10</x:v>
      </x:c>
      <x:c r="B22" s="68" t="str">
        <x:v>Teamwork / Peer Support</x:v>
      </x:c>
      <x:c r="C22" s="117" t="n">
        <x:v>0.05</x:v>
      </x:c>
      <x:c r="D22" s="127" t="str">
        <x:v>Peer Review</x:v>
      </x:c>
      <x:c r="E22" s="118" t="str">
        <x:v>0–100</x:v>
      </x:c>
      <x:c r="G22" s="63" t="str">
        <x:v>70–79</x:v>
      </x:c>
      <x:c r="H22" s="66" t="str">
        <x:v>មធ្យមល្អ</x:v>
      </x:c>
      <x:c r="I22" s="66" t="str">
        <x:v>60–69</x:v>
      </x:c>
      <x:c r="J22" s="116" t="str">
        <x:v>មធ្យម</x:v>
      </x:c>
    </x:row>
    <x:row r="23">
      <x:c r="G23" s="67" t="str">
        <x:v>&lt; 60</x:v>
      </x:c>
      <x:c r="H23" s="68" t="str">
        <x:v>ត្រូវកែលម្អ</x:v>
      </x:c>
      <x:c r="I23" s="68" t="str"/>
      <x:c r="J23" s="118" t="str"/>
    </x:row>
    <x:row r="24">
      <x:c r="A24" s="164" t="str">
        <x:v>កូដវត្តមាន៖ 1 = មានវត្តមាន | L = យឺត | P = មានច្បាប់ | A = អវត្តមាន</x:v>
      </x:c>
      <x:c r="B24" s="164"/>
      <x:c r="C24" s="164"/>
      <x:c r="D24" s="164"/>
      <x:c r="E24" s="164"/>
    </x:row>
    <x:row r="25">
      <x:c r="A25" s="31" t="str">
        <x:v>ព័ត៌មានសវនកម្ម GitHub និងសមាជិកក្រុម</x:v>
      </x:c>
      <x:c r="B25" s="31"/>
      <x:c r="C25" s="31"/>
      <x:c r="D25" s="31"/>
      <x:c r="E25" s="31"/>
      <x:c r="F25" s="31"/>
      <x:c r="G25" s="31"/>
      <x:c r="H25" s="31"/>
      <x:c r="I25" s="31"/>
      <x:c r="J25" s="31"/>
    </x:row>
    <x:row r="26">
      <x:c r="A26" s="60" t="str">
        <x:v>Repository</x:v>
      </x:c>
      <x:c r="B26" s="172" t="str">
        <x:v>Ny-Panha/Koupreng-invitation_project</x:v>
      </x:c>
      <x:c r="C26" s="172"/>
      <x:c r="D26" s="172"/>
      <x:c r="E26" s="168" t="str">
        <x:v>Branch</x:v>
      </x:c>
      <x:c r="F26" s="168" t="str">
        <x:v>main</x:v>
      </x:c>
      <x:c r="G26" s="168" t="str">
        <x:v>GitHub reviewed</x:v>
      </x:c>
      <x:c r="H26" s="168" t="str">
        <x:v>08-Sep-2026</x:v>
      </x:c>
      <x:c r="I26" s="168" t="str">
        <x:v>Deadline</x:v>
      </x:c>
      <x:c r="J26" s="169" t="str">
        <x:v>01-Dec-2026</x:v>
      </x:c>
    </x:row>
    <x:row r="27">
      <x:c r="A27" s="67" t="str">
        <x:v>Team Leader</x:v>
      </x:c>
      <x:c r="B27" s="68" t="str">
        <x:v>កឿង វីរៈ (Koeurng Vireak)</x:v>
      </x:c>
      <x:c r="C27" s="68"/>
      <x:c r="D27" s="68"/>
      <x:c r="E27" s="68" t="str">
        <x:v>Members</x:v>
      </x:c>
      <x:c r="F27" s="68" t="n">
        <x:v>6</x:v>
      </x:c>
      <x:c r="G27" s="68" t="str">
        <x:v>Mapped GitHub</x:v>
      </x:c>
      <x:c r="H27" s="68" t="n">
        <x:v>3</x:v>
      </x:c>
      <x:c r="I27" s="68" t="str">
        <x:v>Unmapped</x:v>
      </x:c>
      <x:c r="J27" s="118" t="n">
        <x:v>3</x:v>
      </x:c>
    </x:row>
    <x:row r="29">
      <x:c r="A29" s="184" t="str">
        <x:v>ល.រ</x:v>
      </x:c>
      <x:c r="B29" s="185" t="str">
        <x:v>សមាជិកក្រុម</x:v>
      </x:c>
      <x:c r="C29" s="185"/>
      <x:c r="D29" s="185" t="str">
        <x:v>Name / GitHub</x:v>
      </x:c>
      <x:c r="E29" s="185"/>
      <x:c r="F29" s="185" t="str">
        <x:v>តួនាទី</x:v>
      </x:c>
      <x:c r="G29" s="185"/>
      <x:c r="H29" s="185" t="str">
        <x:v>ស្ថានភាពភស្តុតាង GitHub</x:v>
      </x:c>
      <x:c r="I29" s="185"/>
      <x:c r="J29" s="186"/>
    </x:row>
    <x:row r="30" ht="28" customHeight="1">
      <x:c r="A30" s="63" t="n">
        <x:v>1</x:v>
      </x:c>
      <x:c r="B30" s="66" t="str">
        <x:v>កឿង វីរៈ</x:v>
      </x:c>
      <x:c r="C30" s="66"/>
      <x:c r="D30" s="126" t="str">
        <x:v>Koeurng Vireak / KoeurngVireakk</x:v>
      </x:c>
      <x:c r="E30" s="126"/>
      <x:c r="F30" s="66" t="str">
        <x:v>ប្រធានក្រុម / Team Leader — Backend</x:v>
      </x:c>
      <x:c r="G30" s="66"/>
      <x:c r="H30" s="66" t="str">
        <x:v>ផ្ទៀងផ្ទាត់ — PR និង Commit ច្រើន</x:v>
      </x:c>
      <x:c r="I30" s="66"/>
      <x:c r="J30" s="116"/>
    </x:row>
    <x:row r="31" ht="28" customHeight="1">
      <x:c r="A31" s="63" t="n">
        <x:v>2</x:v>
      </x:c>
      <x:c r="B31" s="66" t="str">
        <x:v>ឡាំ គីមឡុង</x:v>
      </x:c>
      <x:c r="C31" s="66"/>
      <x:c r="D31" s="126" t="str">
        <x:v>Lam Kimlong / Kimlong1610</x:v>
      </x:c>
      <x:c r="E31" s="126"/>
      <x:c r="F31" s="66" t="str">
        <x:v>Backend</x:v>
      </x:c>
      <x:c r="G31" s="66"/>
      <x:c r="H31" s="66" t="str">
        <x:v>ផ្ទៀងផ្ទាត់ — Backend/API documentation commits</x:v>
      </x:c>
      <x:c r="I31" s="66"/>
      <x:c r="J31" s="116"/>
    </x:row>
    <x:row r="32" ht="28" customHeight="1">
      <x:c r="A32" s="63" t="n">
        <x:v>3</x:v>
      </x:c>
      <x:c r="B32" s="66" t="str">
        <x:v>នី បញ្ញា</x:v>
      </x:c>
      <x:c r="C32" s="66"/>
      <x:c r="D32" s="126" t="str">
        <x:v>Ny Panha / Ny-Panha</x:v>
      </x:c>
      <x:c r="E32" s="126"/>
      <x:c r="F32" s="66" t="str">
        <x:v>Frontend — User &amp; Admin</x:v>
      </x:c>
      <x:c r="G32" s="66"/>
      <x:c r="H32" s="66" t="str">
        <x:v>ផ្ទៀងផ្ទាត់ — Template/Seating/Dev workflow commits</x:v>
      </x:c>
      <x:c r="I32" s="66"/>
      <x:c r="J32" s="116"/>
    </x:row>
    <x:row r="33" ht="28" customHeight="1">
      <x:c r="A33" s="63" t="n">
        <x:v>4</x:v>
      </x:c>
      <x:c r="B33" s="66" t="str">
        <x:v>គក់ ស្រីផ្កាយ</x:v>
      </x:c>
      <x:c r="C33" s="66"/>
      <x:c r="D33" s="126" t="str">
        <x:v>Kouk SreyPkay</x:v>
      </x:c>
      <x:c r="E33" s="126"/>
      <x:c r="F33" s="66" t="str">
        <x:v>Frontend — User</x:v>
      </x:c>
      <x:c r="G33" s="66"/>
      <x:c r="H33" s="66" t="str">
        <x:v>មិនទាន់ផ្ទៀងផ្ទាត់ GitHub account</x:v>
      </x:c>
      <x:c r="I33" s="66"/>
      <x:c r="J33" s="116"/>
    </x:row>
    <x:row r="34" ht="28" customHeight="1">
      <x:c r="A34" s="63" t="n">
        <x:v>5</x:v>
      </x:c>
      <x:c r="B34" s="66" t="str">
        <x:v>រ៉ាន់ ណារ៉ាត់</x:v>
      </x:c>
      <x:c r="C34" s="66"/>
      <x:c r="D34" s="126" t="str">
        <x:v>Ran Narath</x:v>
      </x:c>
      <x:c r="E34" s="126"/>
      <x:c r="F34" s="66" t="str">
        <x:v>Frontend — User</x:v>
      </x:c>
      <x:c r="G34" s="66"/>
      <x:c r="H34" s="66" t="str">
        <x:v>មិនទាន់ផ្ទៀងផ្ទាត់ GitHub account</x:v>
      </x:c>
      <x:c r="I34" s="66"/>
      <x:c r="J34" s="116"/>
    </x:row>
    <x:row r="35" ht="28" customHeight="1">
      <x:c r="A35" s="67" t="n">
        <x:v>6</x:v>
      </x:c>
      <x:c r="B35" s="68" t="str">
        <x:v>គុយ ដាលី</x:v>
      </x:c>
      <x:c r="C35" s="68"/>
      <x:c r="D35" s="127" t="str">
        <x:v>Kuy Daly</x:v>
      </x:c>
      <x:c r="E35" s="127"/>
      <x:c r="F35" s="68" t="str">
        <x:v>Backend</x:v>
      </x:c>
      <x:c r="G35" s="68"/>
      <x:c r="H35" s="68" t="str">
        <x:v>មិនទាន់ផ្ទៀងផ្ទាត់ GitHub account</x:v>
      </x:c>
      <x:c r="I35" s="68"/>
      <x:c r="J35" s="118"/>
    </x:row>
    <x:row r="37">
      <x:c r="A37" s="192" t="str">
        <x:v>គោលការណ៍សវនកម្ម៖ GitHub Commit/PR គឺជាភស្តុតាងបច្ចេកទេសដែលអាចតាមដានបាន ប៉ុន្តែមិនត្រូវប្រើជំនួសការវាយតម្លៃគុណភាព ការចូលរួមប្រជុំ Documentation Demo និងការងារមិនមែនកូដឡើយ។ សម្រាប់សមាជិកដែលមិនទាន់ផ្ទៀងផ្ទាត់ GitHub account ត្រូវប្រើ Task Tracker / Meeting Log / Report / Demo ជាភស្តុតាងបន្ថែម។</x:v>
      </x:c>
      <x:c r="B37" s="192"/>
      <x:c r="C37" s="192"/>
      <x:c r="D37" s="192"/>
      <x:c r="E37" s="192"/>
      <x:c r="F37" s="192"/>
      <x:c r="G37" s="192"/>
      <x:c r="H37" s="192"/>
      <x:c r="I37" s="192"/>
      <x:c r="J37" s="192"/>
    </x:row>
    <x:row r="38">
      <x:c r="A38" s="192"/>
      <x:c r="B38" s="192"/>
      <x:c r="C38" s="192"/>
      <x:c r="D38" s="192"/>
      <x:c r="E38" s="192"/>
      <x:c r="F38" s="192"/>
      <x:c r="G38" s="192"/>
      <x:c r="H38" s="192"/>
      <x:c r="I38" s="192"/>
      <x:c r="J38" s="192"/>
    </x:row>
  </x:sheetData>
  <x:mergeCells>
    <x:mergeCell ref="A1:J1"/>
    <x:mergeCell ref="A2:J2"/>
    <x:mergeCell ref="A3:J3"/>
    <x:mergeCell ref="A5:C5"/>
    <x:mergeCell ref="D5:E5"/>
    <x:mergeCell ref="F5:G5"/>
    <x:mergeCell ref="H5:I5"/>
    <x:mergeCell ref="D6:E7"/>
    <x:mergeCell ref="F6:G7"/>
    <x:mergeCell ref="H6:I7"/>
    <x:mergeCell ref="J6:J7"/>
    <x:mergeCell ref="A11:E11"/>
    <x:mergeCell ref="G11:J11"/>
    <x:mergeCell ref="G20:J20"/>
    <x:mergeCell ref="A24:E24"/>
    <x:mergeCell ref="A25:J25"/>
    <x:mergeCell ref="B26:D26"/>
    <x:mergeCell ref="B27:D27"/>
    <x:mergeCell ref="B29:C29"/>
    <x:mergeCell ref="D29:E29"/>
    <x:mergeCell ref="F29:G29"/>
    <x:mergeCell ref="H29:J29"/>
    <x:mergeCell ref="B30:C30"/>
    <x:mergeCell ref="D30:E30"/>
    <x:mergeCell ref="F30:G30"/>
    <x:mergeCell ref="H30:J30"/>
    <x:mergeCell ref="B31:C31"/>
    <x:mergeCell ref="D31:E31"/>
    <x:mergeCell ref="F31:G31"/>
    <x:mergeCell ref="H31:J31"/>
    <x:mergeCell ref="B32:C32"/>
    <x:mergeCell ref="D32:E32"/>
    <x:mergeCell ref="F32:G32"/>
    <x:mergeCell ref="H32:J32"/>
    <x:mergeCell ref="B33:C33"/>
    <x:mergeCell ref="D33:E33"/>
    <x:mergeCell ref="F33:G33"/>
    <x:mergeCell ref="H33:J33"/>
    <x:mergeCell ref="B34:C34"/>
    <x:mergeCell ref="D34:E34"/>
    <x:mergeCell ref="F34:G34"/>
    <x:mergeCell ref="H34:J34"/>
    <x:mergeCell ref="B35:C35"/>
    <x:mergeCell ref="D35:E35"/>
    <x:mergeCell ref="F35:G35"/>
    <x:mergeCell ref="H35:J35"/>
    <x:mergeCell ref="A37:J3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8" hidden="0" customWidth="1"/>
    <x:col min="3" max="3" width="16" hidden="0" customWidth="1"/>
    <x:col min="4" max="4" width="1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10" hidden="0" customWidth="1"/>
    <x:col min="40" max="40" width="10" hidden="0" customWidth="1"/>
    <x:col min="41" max="41" width="10" hidden="0" customWidth="1"/>
    <x:col min="42" max="42" width="28" hidden="0" customWidth="1"/>
  </x:cols>
  <x:sheetData>
    <x:row r="1" ht="28" customHeight="1">
      <x:c r="A1" s="5" t="str">
        <x:v>បែបបទត្រួតពិនិត្យ និងវាយតម្លៃការចូលរួមរបស់សមាជិកក្រុម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</x:row>
    <x:row r="2">
      <x:c r="A2" s="13" t="str">
        <x:v>ប្រព័ន្ធគ្រប់គ្រងលិខិតអញ្ចើញឌីជីថល (E-Invitation) — ការវាយតម្លៃការចូលរួម និងការបំពេញភារកិច្ចប្រចាំសប្ដាហ៍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  <x:c r="AF2" s="13"/>
      <x:c r="AG2" s="13"/>
      <x:c r="AH2" s="13"/>
      <x:c r="AI2" s="13"/>
      <x:c r="AJ2" s="13"/>
      <x:c r="AK2" s="13"/>
      <x:c r="AL2" s="13"/>
      <x:c r="AM2" s="13"/>
      <x:c r="AN2" s="13"/>
      <x:c r="AO2" s="13"/>
      <x:c r="AP2" s="13"/>
    </x:row>
    <x:row r="3">
      <x:c r="A3" s="22" t="str">
        <x:v>រយៈពេលត្រួតពិនិត្យ៖ 09-09-2026 ដល់ 01-12-2026  |  កាលបរិច្ឆេទបញ្ចប់ចុងក្រោយ៖ 01-12-2026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  <x:c r="U3" s="22"/>
      <x:c r="V3" s="22"/>
      <x:c r="W3" s="22"/>
      <x:c r="X3" s="22"/>
      <x:c r="Y3" s="22"/>
      <x:c r="Z3" s="22"/>
      <x:c r="AA3" s="22"/>
      <x:c r="AB3" s="22"/>
      <x:c r="AC3" s="22"/>
      <x:c r="AD3" s="22"/>
      <x:c r="AE3" s="22"/>
      <x:c r="AF3" s="22"/>
      <x:c r="AG3" s="22"/>
      <x:c r="AH3" s="22"/>
      <x:c r="AI3" s="22"/>
      <x:c r="AJ3" s="22"/>
      <x:c r="AK3" s="22"/>
      <x:c r="AL3" s="22"/>
      <x:c r="AM3" s="22"/>
      <x:c r="AN3" s="22"/>
      <x:c r="AO3" s="22"/>
      <x:c r="AP3" s="22"/>
    </x:row>
    <x:row r="5" ht="34" customHeight="1">
      <x:c r="A5" s="250" t="str">
        <x:v>ល.រ</x:v>
      </x:c>
      <x:c r="B5" s="251" t="str">
        <x:v>គោត្តនាម និងនាម</x:v>
      </x:c>
      <x:c r="C5" s="251" t="str">
        <x:v>Name in English</x:v>
      </x:c>
      <x:c r="D5" s="251" t="str">
        <x:v>តួនាទី / Role</x:v>
      </x:c>
      <x:c r="E5" s="252" t="str">
        <x:v>វត្តមាន និងការចូលរួមតាមសប្ដាហ៍</x:v>
      </x:c>
      <x:c r="F5" s="252"/>
      <x:c r="G5" s="252"/>
      <x:c r="H5" s="252"/>
      <x:c r="I5" s="252"/>
      <x:c r="J5" s="252"/>
      <x:c r="K5" s="252"/>
      <x:c r="L5" s="252"/>
      <x:c r="M5" s="252"/>
      <x:c r="N5" s="252"/>
      <x:c r="O5" s="252"/>
      <x:c r="P5" s="252"/>
      <x:c r="Q5" s="253" t="str">
        <x:v>សរុបវត្តមាន</x:v>
      </x:c>
      <x:c r="R5" s="253"/>
      <x:c r="S5" s="157" t="str">
        <x:v>ពិន្ទុវាយតម្លៃដើម (0–100)</x:v>
      </x:c>
      <x:c r="T5" s="157"/>
      <x:c r="U5" s="157"/>
      <x:c r="V5" s="157"/>
      <x:c r="W5" s="157"/>
      <x:c r="X5" s="157"/>
      <x:c r="Y5" s="157"/>
      <x:c r="Z5" s="157"/>
      <x:c r="AA5" s="157"/>
      <x:c r="AB5" s="157"/>
      <x:c r="AC5" s="253" t="str">
        <x:v>ពិន្ទុបម្លែងតាមទម្ងន់</x:v>
      </x:c>
      <x:c r="AD5" s="253"/>
      <x:c r="AE5" s="253"/>
      <x:c r="AF5" s="253"/>
      <x:c r="AG5" s="253"/>
      <x:c r="AH5" s="253"/>
      <x:c r="AI5" s="253"/>
      <x:c r="AJ5" s="253"/>
      <x:c r="AK5" s="253"/>
      <x:c r="AL5" s="253"/>
      <x:c r="AM5" s="254" t="str">
        <x:v>លទ្ធផលសរុប</x:v>
      </x:c>
      <x:c r="AN5" s="254"/>
      <x:c r="AO5" s="254"/>
      <x:c r="AP5" s="255"/>
    </x:row>
    <x:row r="6" ht="34" customHeight="1">
      <x:c r="A6" s="256"/>
      <x:c r="B6" s="257"/>
      <x:c r="C6" s="257"/>
      <x:c r="D6" s="257"/>
      <x:c r="E6" s="258" t="str">
        <x:v>09–15 កញ្ញា</x:v>
      </x:c>
      <x:c r="F6" s="258" t="str">
        <x:v>16–22 កញ្ញា</x:v>
      </x:c>
      <x:c r="G6" s="258" t="str">
        <x:v>23–29 កញ្ញា</x:v>
      </x:c>
      <x:c r="H6" s="258" t="str">
        <x:v>30 កញ្ញា–06 តុលា</x:v>
      </x:c>
      <x:c r="I6" s="258" t="str">
        <x:v>07–13 តុលា</x:v>
      </x:c>
      <x:c r="J6" s="258" t="str">
        <x:v>14–20 តុលា</x:v>
      </x:c>
      <x:c r="K6" s="258" t="str">
        <x:v>21–27 តុលា</x:v>
      </x:c>
      <x:c r="L6" s="258" t="str">
        <x:v>28 តុលា–03 វិច្ឆិកា</x:v>
      </x:c>
      <x:c r="M6" s="258" t="str">
        <x:v>04–10 វិច្ឆិកា</x:v>
      </x:c>
      <x:c r="N6" s="258" t="str">
        <x:v>11–17 វិច្ឆិកា</x:v>
      </x:c>
      <x:c r="O6" s="258" t="str">
        <x:v>18–24 វិច្ឆិកា</x:v>
      </x:c>
      <x:c r="P6" s="258" t="str">
        <x:v>25 វិច្ឆិកា–01 ធ្នូ</x:v>
      </x:c>
      <x:c r="Q6" s="259" t="str">
        <x:v>ចំនួន 1</x:v>
      </x:c>
      <x:c r="R6" s="259" t="str">
        <x:v>% ចូលរួម</x:v>
      </x:c>
      <x:c r="S6" s="260" t="str">
        <x:v>វត្តមាន</x:v>
      </x:c>
      <x:c r="T6" s="260" t="str">
        <x:v>ចូលរួម/
ទំនាក់ទំនង</x:v>
      </x:c>
      <x:c r="U6" s="260" t="str">
        <x:v>បំពេញ
Assignment</x:v>
      </x:c>
      <x:c r="V6" s="260" t="str">
        <x:v>គោរព
Deadline</x:v>
      </x:c>
      <x:c r="W6" s="260" t="str">
        <x:v>គុណភាព
ការងារ</x:v>
      </x:c>
      <x:c r="X6" s="260" t="str">
        <x:v>Git /
GitHub</x:v>
      </x:c>
      <x:c r="Y6" s="260" t="str">
        <x:v>QA /
Testing</x:v>
      </x:c>
      <x:c r="Z6" s="260" t="str">
        <x:v>ឯកសារ /
Report</x:v>
      </x:c>
      <x:c r="AA6" s="260" t="str">
        <x:v>Initiative /
Problem</x:v>
      </x:c>
      <x:c r="AB6" s="260" t="str">
        <x:v>Teamwork /
Peer</x:v>
      </x:c>
      <x:c r="AC6" s="259" t="str">
        <x:v>វត្តមាន</x:v>
      </x:c>
      <x:c r="AD6" s="259" t="str">
        <x:v>ចូលរួម/
ទំនាក់ទំនង</x:v>
      </x:c>
      <x:c r="AE6" s="259" t="str">
        <x:v>បំពេញ
Assignment</x:v>
      </x:c>
      <x:c r="AF6" s="259" t="str">
        <x:v>គោរព
Deadline</x:v>
      </x:c>
      <x:c r="AG6" s="259" t="str">
        <x:v>គុណភាព
ការងារ</x:v>
      </x:c>
      <x:c r="AH6" s="259" t="str">
        <x:v>Git /
GitHub</x:v>
      </x:c>
      <x:c r="AI6" s="259" t="str">
        <x:v>QA /
Testing</x:v>
      </x:c>
      <x:c r="AJ6" s="259" t="str">
        <x:v>ឯកសារ /
Report</x:v>
      </x:c>
      <x:c r="AK6" s="259" t="str">
        <x:v>Initiative /
Problem</x:v>
      </x:c>
      <x:c r="AL6" s="259" t="str">
        <x:v>Teamwork /
Peer</x:v>
      </x:c>
      <x:c r="AM6" s="261" t="str">
        <x:v>សរុប /100</x:v>
      </x:c>
      <x:c r="AN6" s="261" t="str">
        <x:v>កម្រិត</x:v>
      </x:c>
      <x:c r="AO6" s="261" t="str">
        <x:v>ចំណាត់ថ្នាក់</x:v>
      </x:c>
      <x:c r="AP6" s="262" t="str">
        <x:v>កំណត់សម្គាល់</x:v>
      </x:c>
    </x:row>
    <x:row r="7" ht="34" customHeight="1">
      <x:c r="A7" s="256"/>
      <x:c r="B7" s="257"/>
      <x:c r="C7" s="257"/>
      <x:c r="D7" s="257"/>
      <x:c r="E7" s="258" t="str">
        <x:v>W1</x:v>
      </x:c>
      <x:c r="F7" s="258" t="str">
        <x:v>W2</x:v>
      </x:c>
      <x:c r="G7" s="258" t="str">
        <x:v>W3</x:v>
      </x:c>
      <x:c r="H7" s="258" t="str">
        <x:v>W4</x:v>
      </x:c>
      <x:c r="I7" s="258" t="str">
        <x:v>W5</x:v>
      </x:c>
      <x:c r="J7" s="258" t="str">
        <x:v>W6</x:v>
      </x:c>
      <x:c r="K7" s="258" t="str">
        <x:v>W7</x:v>
      </x:c>
      <x:c r="L7" s="258" t="str">
        <x:v>W8</x:v>
      </x:c>
      <x:c r="M7" s="258" t="str">
        <x:v>W9</x:v>
      </x:c>
      <x:c r="N7" s="258" t="str">
        <x:v>W10</x:v>
      </x:c>
      <x:c r="O7" s="258" t="str">
        <x:v>W11</x:v>
      </x:c>
      <x:c r="P7" s="258" t="str">
        <x:v>W12</x:v>
      </x:c>
      <x:c r="Q7" s="259"/>
      <x:c r="R7" s="259"/>
      <x:c r="S7" s="260" t="str">
        <x:v>10%</x:v>
      </x:c>
      <x:c r="T7" s="260" t="str">
        <x:v>10%</x:v>
      </x:c>
      <x:c r="U7" s="260" t="str">
        <x:v>25%</x:v>
      </x:c>
      <x:c r="V7" s="260" t="str">
        <x:v>10%</x:v>
      </x:c>
      <x:c r="W7" s="260" t="str">
        <x:v>15%</x:v>
      </x:c>
      <x:c r="X7" s="260" t="str">
        <x:v>10%</x:v>
      </x:c>
      <x:c r="Y7" s="260" t="str">
        <x:v>5%</x:v>
      </x:c>
      <x:c r="Z7" s="260" t="str">
        <x:v>5%</x:v>
      </x:c>
      <x:c r="AA7" s="260" t="str">
        <x:v>5%</x:v>
      </x:c>
      <x:c r="AB7" s="260" t="str">
        <x:v>5%</x:v>
      </x:c>
      <x:c r="AC7" s="259" t="str">
        <x:v>10%</x:v>
      </x:c>
      <x:c r="AD7" s="259" t="str">
        <x:v>10%</x:v>
      </x:c>
      <x:c r="AE7" s="259" t="str">
        <x:v>25%</x:v>
      </x:c>
      <x:c r="AF7" s="259" t="str">
        <x:v>10%</x:v>
      </x:c>
      <x:c r="AG7" s="259" t="str">
        <x:v>15%</x:v>
      </x:c>
      <x:c r="AH7" s="259" t="str">
        <x:v>10%</x:v>
      </x:c>
      <x:c r="AI7" s="259" t="str">
        <x:v>5%</x:v>
      </x:c>
      <x:c r="AJ7" s="259" t="str">
        <x:v>5%</x:v>
      </x:c>
      <x:c r="AK7" s="259" t="str">
        <x:v>5%</x:v>
      </x:c>
      <x:c r="AL7" s="259" t="str">
        <x:v>5%</x:v>
      </x:c>
      <x:c r="AM7" s="261"/>
      <x:c r="AN7" s="261"/>
      <x:c r="AO7" s="261"/>
      <x:c r="AP7" s="262"/>
    </x:row>
    <x:row r="8" ht="30" customHeight="1">
      <x:c r="A8" s="263" t="n">
        <x:v>1</x:v>
      </x:c>
      <x:c r="B8" s="264" t="str">
        <x:v>កឿង វីរៈ</x:v>
      </x:c>
      <x:c r="C8" s="265" t="str">
        <x:v>Koeurng Vireak</x:v>
      </x:c>
      <x:c r="D8" s="264" t="str">
        <x:v>ប្រធានក្រុម / Team Leader — Backend</x:v>
      </x:c>
      <x:c r="E8" s="266"/>
      <x:c r="F8" s="266"/>
      <x:c r="G8" s="266"/>
      <x:c r="H8" s="266"/>
      <x:c r="I8" s="266"/>
      <x:c r="J8" s="266"/>
      <x:c r="K8" s="266"/>
      <x:c r="L8" s="266"/>
      <x:c r="M8" s="266"/>
      <x:c r="N8" s="266"/>
      <x:c r="O8" s="266"/>
      <x:c r="P8" s="266"/>
      <x:c r="Q8" s="267" t="str">
        <x:f>IF(B8="","",IF(COUNTA(E8:P8)=0,"",COUNTIF(E8:P8,"1")))</x:f>
      </x:c>
      <x:c r="R8" s="267" t="str">
        <x:f>IF(B8="","",IF(COUNTA(E8:P8)=0,"",ROUND((COUNTIF(E8:P8,"1")+0.5*COUNTIF(E8:P8,"L"))/12*100,0)))</x:f>
      </x:c>
      <x:c r="S8" s="268" t="str">
        <x:f>IF(B8="","",R8)</x:f>
      </x:c>
      <x:c r="T8" s="268"/>
      <x:c r="U8" s="268"/>
      <x:c r="V8" s="268"/>
      <x:c r="W8" s="268"/>
      <x:c r="X8" s="268"/>
      <x:c r="Y8" s="268"/>
      <x:c r="Z8" s="268"/>
      <x:c r="AA8" s="268"/>
      <x:c r="AB8" s="268"/>
      <x:c r="AC8" s="267" t="str">
        <x:f>IF(S8="","",ROUND(S8*0.1,2))</x:f>
      </x:c>
      <x:c r="AD8" s="267" t="str">
        <x:f>IF(T8="","",ROUND(T8*0.1,2))</x:f>
      </x:c>
      <x:c r="AE8" s="267" t="str">
        <x:f>IF(U8="","",ROUND(U8*0.25,2))</x:f>
      </x:c>
      <x:c r="AF8" s="267" t="str">
        <x:f>IF(V8="","",ROUND(V8*0.1,2))</x:f>
      </x:c>
      <x:c r="AG8" s="267" t="str">
        <x:f>IF(W8="","",ROUND(W8*0.15,2))</x:f>
      </x:c>
      <x:c r="AH8" s="267" t="str">
        <x:f>IF(X8="","",ROUND(X8*0.1,2))</x:f>
      </x:c>
      <x:c r="AI8" s="267" t="str">
        <x:f>IF(Y8="","",ROUND(Y8*0.05,2))</x:f>
      </x:c>
      <x:c r="AJ8" s="267" t="str">
        <x:f>IF(Z8="","",ROUND(Z8*0.05,2))</x:f>
      </x:c>
      <x:c r="AK8" s="267" t="str">
        <x:f>IF(AA8="","",ROUND(AA8*0.05,2))</x:f>
      </x:c>
      <x:c r="AL8" s="267" t="str">
        <x:f>IF(AB8="","",ROUND(AB8*0.05,2))</x:f>
      </x:c>
      <x:c r="AM8" s="269" t="str">
        <x:f>IF(B8="","",IF(COUNT(S8:AB8)&lt;10,"",ROUND(SUM(AC8:AL8),2)))</x:f>
      </x:c>
      <x:c r="AN8" s="267" t="str">
        <x:f>IF(AM8="","",IF(AM8&gt;=90,"ល្អប្រសើរ",IF(AM8&gt;=80,"ល្អ",IF(AM8&gt;=70,"មធ្យមល្អ",IF(AM8&gt;=60,"មធ្យម","ត្រូវកែលម្អ")))))</x:f>
      </x:c>
      <x:c r="AO8" s="267" t="str">
        <x:f>IF(AM8="","",RANK.EQ(AM8,$AM$8:$AM$27,0))</x:f>
      </x:c>
      <x:c r="AP8" s="270" t="str">
        <x:v>GitHub mapping ផ្ទៀងផ្ទាត់៖ KoeurngVireakk | Team Leader | ពិន្ទុសកម្មភាពមិនបំពេញស្វ័យប្រវត្តិ</x:v>
      </x:c>
    </x:row>
    <x:row r="9" ht="30" customHeight="1">
      <x:c r="A9" s="263" t="n">
        <x:v>2</x:v>
      </x:c>
      <x:c r="B9" s="264" t="str">
        <x:v>ឡាំ គីមឡុង</x:v>
      </x:c>
      <x:c r="C9" s="265" t="str">
        <x:v>Lam Kimlong</x:v>
      </x:c>
      <x:c r="D9" s="264" t="str">
        <x:v>Backend</x:v>
      </x:c>
      <x:c r="E9" s="266"/>
      <x:c r="F9" s="266"/>
      <x:c r="G9" s="266"/>
      <x:c r="H9" s="266"/>
      <x:c r="I9" s="266"/>
      <x:c r="J9" s="266"/>
      <x:c r="K9" s="266"/>
      <x:c r="L9" s="266"/>
      <x:c r="M9" s="266"/>
      <x:c r="N9" s="266"/>
      <x:c r="O9" s="266"/>
      <x:c r="P9" s="266"/>
      <x:c r="Q9" s="267" t="str">
        <x:f>IF(B9="","",IF(COUNTA(E9:P9)=0,"",COUNTIF(E9:P9,"1")))</x:f>
      </x:c>
      <x:c r="R9" s="267" t="str">
        <x:f>IF(B9="","",IF(COUNTA(E9:P9)=0,"",ROUND((COUNTIF(E9:P9,"1")+0.5*COUNTIF(E9:P9,"L"))/12*100,0)))</x:f>
      </x:c>
      <x:c r="S9" s="268" t="str">
        <x:f>IF(B9="","",R9)</x:f>
      </x:c>
      <x:c r="T9" s="268"/>
      <x:c r="U9" s="268"/>
      <x:c r="V9" s="268"/>
      <x:c r="W9" s="268"/>
      <x:c r="X9" s="268"/>
      <x:c r="Y9" s="268"/>
      <x:c r="Z9" s="268"/>
      <x:c r="AA9" s="268"/>
      <x:c r="AB9" s="268"/>
      <x:c r="AC9" s="267" t="str">
        <x:f>IF(S9="","",ROUND(S9*0.1,2))</x:f>
      </x:c>
      <x:c r="AD9" s="267" t="str">
        <x:f>IF(T9="","",ROUND(T9*0.1,2))</x:f>
      </x:c>
      <x:c r="AE9" s="267" t="str">
        <x:f>IF(U9="","",ROUND(U9*0.25,2))</x:f>
      </x:c>
      <x:c r="AF9" s="267" t="str">
        <x:f>IF(V9="","",ROUND(V9*0.1,2))</x:f>
      </x:c>
      <x:c r="AG9" s="267" t="str">
        <x:f>IF(W9="","",ROUND(W9*0.15,2))</x:f>
      </x:c>
      <x:c r="AH9" s="267" t="str">
        <x:f>IF(X9="","",ROUND(X9*0.1,2))</x:f>
      </x:c>
      <x:c r="AI9" s="267" t="str">
        <x:f>IF(Y9="","",ROUND(Y9*0.05,2))</x:f>
      </x:c>
      <x:c r="AJ9" s="267" t="str">
        <x:f>IF(Z9="","",ROUND(Z9*0.05,2))</x:f>
      </x:c>
      <x:c r="AK9" s="267" t="str">
        <x:f>IF(AA9="","",ROUND(AA9*0.05,2))</x:f>
      </x:c>
      <x:c r="AL9" s="267" t="str">
        <x:f>IF(AB9="","",ROUND(AB9*0.05,2))</x:f>
      </x:c>
      <x:c r="AM9" s="269" t="str">
        <x:f>IF(B9="","",IF(COUNT(S9:AB9)&lt;10,"",ROUND(SUM(AC9:AL9),2)))</x:f>
      </x:c>
      <x:c r="AN9" s="267" t="str">
        <x:f>IF(AM9="","",IF(AM9&gt;=90,"ល្អប្រសើរ",IF(AM9&gt;=80,"ល្អ",IF(AM9&gt;=70,"មធ្យមល្អ",IF(AM9&gt;=60,"មធ្យម","ត្រូវកែលម្អ")))))</x:f>
      </x:c>
      <x:c r="AO9" s="267" t="str">
        <x:f>IF(AM9="","",RANK.EQ(AM9,$AM$8:$AM$27,0))</x:f>
      </x:c>
      <x:c r="AP9" s="270" t="str">
        <x:v>GitHub mapping ផ្ទៀងផ្ទាត់៖ Kimlong1610 | ពិន្ទុត្រូវវាយតម្លៃជាមួយ Task/QA/Meeting evidence</x:v>
      </x:c>
    </x:row>
    <x:row r="10" ht="30" customHeight="1">
      <x:c r="A10" s="263" t="n">
        <x:v>3</x:v>
      </x:c>
      <x:c r="B10" s="264" t="str">
        <x:v>នី បញ្ញា</x:v>
      </x:c>
      <x:c r="C10" s="265" t="str">
        <x:v>Ny Panha</x:v>
      </x:c>
      <x:c r="D10" s="264" t="str">
        <x:v>Frontend — User &amp; Admin</x:v>
      </x:c>
      <x:c r="E10" s="266"/>
      <x:c r="F10" s="266"/>
      <x:c r="G10" s="266"/>
      <x:c r="H10" s="266"/>
      <x:c r="I10" s="266"/>
      <x:c r="J10" s="266"/>
      <x:c r="K10" s="266"/>
      <x:c r="L10" s="266"/>
      <x:c r="M10" s="266"/>
      <x:c r="N10" s="266"/>
      <x:c r="O10" s="266"/>
      <x:c r="P10" s="266"/>
      <x:c r="Q10" s="267" t="str">
        <x:f>IF(B10="","",IF(COUNTA(E10:P10)=0,"",COUNTIF(E10:P10,"1")))</x:f>
      </x:c>
      <x:c r="R10" s="267" t="str">
        <x:f>IF(B10="","",IF(COUNTA(E10:P10)=0,"",ROUND((COUNTIF(E10:P10,"1")+0.5*COUNTIF(E10:P10,"L"))/12*100,0)))</x:f>
      </x:c>
      <x:c r="S10" s="268" t="str">
        <x:f>IF(B10="","",R10)</x:f>
      </x:c>
      <x:c r="T10" s="268"/>
      <x:c r="U10" s="268"/>
      <x:c r="V10" s="268"/>
      <x:c r="W10" s="268"/>
      <x:c r="X10" s="268"/>
      <x:c r="Y10" s="268"/>
      <x:c r="Z10" s="268"/>
      <x:c r="AA10" s="268"/>
      <x:c r="AB10" s="268"/>
      <x:c r="AC10" s="267" t="str">
        <x:f>IF(S10="","",ROUND(S10*0.1,2))</x:f>
      </x:c>
      <x:c r="AD10" s="267" t="str">
        <x:f>IF(T10="","",ROUND(T10*0.1,2))</x:f>
      </x:c>
      <x:c r="AE10" s="267" t="str">
        <x:f>IF(U10="","",ROUND(U10*0.25,2))</x:f>
      </x:c>
      <x:c r="AF10" s="267" t="str">
        <x:f>IF(V10="","",ROUND(V10*0.1,2))</x:f>
      </x:c>
      <x:c r="AG10" s="267" t="str">
        <x:f>IF(W10="","",ROUND(W10*0.15,2))</x:f>
      </x:c>
      <x:c r="AH10" s="267" t="str">
        <x:f>IF(X10="","",ROUND(X10*0.1,2))</x:f>
      </x:c>
      <x:c r="AI10" s="267" t="str">
        <x:f>IF(Y10="","",ROUND(Y10*0.05,2))</x:f>
      </x:c>
      <x:c r="AJ10" s="267" t="str">
        <x:f>IF(Z10="","",ROUND(Z10*0.05,2))</x:f>
      </x:c>
      <x:c r="AK10" s="267" t="str">
        <x:f>IF(AA10="","",ROUND(AA10*0.05,2))</x:f>
      </x:c>
      <x:c r="AL10" s="267" t="str">
        <x:f>IF(AB10="","",ROUND(AB10*0.05,2))</x:f>
      </x:c>
      <x:c r="AM10" s="269" t="str">
        <x:f>IF(B10="","",IF(COUNT(S10:AB10)&lt;10,"",ROUND(SUM(AC10:AL10),2)))</x:f>
      </x:c>
      <x:c r="AN10" s="267" t="str">
        <x:f>IF(AM10="","",IF(AM10&gt;=90,"ល្អប្រសើរ",IF(AM10&gt;=80,"ល្អ",IF(AM10&gt;=70,"មធ្យមល្អ",IF(AM10&gt;=60,"មធ្យម","ត្រូវកែលម្អ")))))</x:f>
      </x:c>
      <x:c r="AO10" s="267" t="str">
        <x:f>IF(AM10="","",RANK.EQ(AM10,$AM$8:$AM$27,0))</x:f>
      </x:c>
      <x:c r="AP10" s="270" t="str">
        <x:v>GitHub mapping ផ្ទៀងផ្ទាត់៖ Ny-Panha | ពិន្ទុត្រូវវាយតម្លៃជាមួយ Task/QA/Meeting evidence</x:v>
      </x:c>
    </x:row>
    <x:row r="11" ht="30" customHeight="1">
      <x:c r="A11" s="263" t="n">
        <x:v>4</x:v>
      </x:c>
      <x:c r="B11" s="264" t="str">
        <x:v>គក់ ស្រីផ្កាយ</x:v>
      </x:c>
      <x:c r="C11" s="265" t="str">
        <x:v>Kouk SreyPkay</x:v>
      </x:c>
      <x:c r="D11" s="264" t="str">
        <x:v>Frontend — User</x:v>
      </x:c>
      <x:c r="E11" s="266"/>
      <x:c r="F11" s="266"/>
      <x:c r="G11" s="266"/>
      <x:c r="H11" s="266"/>
      <x:c r="I11" s="266"/>
      <x:c r="J11" s="266"/>
      <x:c r="K11" s="266"/>
      <x:c r="L11" s="266"/>
      <x:c r="M11" s="266"/>
      <x:c r="N11" s="266"/>
      <x:c r="O11" s="266"/>
      <x:c r="P11" s="266"/>
      <x:c r="Q11" s="267" t="str">
        <x:f>IF(B11="","",IF(COUNTA(E11:P11)=0,"",COUNTIF(E11:P11,"1")))</x:f>
      </x:c>
      <x:c r="R11" s="267" t="str">
        <x:f>IF(B11="","",IF(COUNTA(E11:P11)=0,"",ROUND((COUNTIF(E11:P11,"1")+0.5*COUNTIF(E11:P11,"L"))/12*100,0)))</x:f>
      </x:c>
      <x:c r="S11" s="268" t="str">
        <x:f>IF(B11="","",R11)</x:f>
      </x:c>
      <x:c r="T11" s="268"/>
      <x:c r="U11" s="268"/>
      <x:c r="V11" s="268"/>
      <x:c r="W11" s="268"/>
      <x:c r="X11" s="268"/>
      <x:c r="Y11" s="268"/>
      <x:c r="Z11" s="268"/>
      <x:c r="AA11" s="268"/>
      <x:c r="AB11" s="268"/>
      <x:c r="AC11" s="267" t="str">
        <x:f>IF(S11="","",ROUND(S11*0.1,2))</x:f>
      </x:c>
      <x:c r="AD11" s="267" t="str">
        <x:f>IF(T11="","",ROUND(T11*0.1,2))</x:f>
      </x:c>
      <x:c r="AE11" s="267" t="str">
        <x:f>IF(U11="","",ROUND(U11*0.25,2))</x:f>
      </x:c>
      <x:c r="AF11" s="267" t="str">
        <x:f>IF(V11="","",ROUND(V11*0.1,2))</x:f>
      </x:c>
      <x:c r="AG11" s="267" t="str">
        <x:f>IF(W11="","",ROUND(W11*0.15,2))</x:f>
      </x:c>
      <x:c r="AH11" s="267" t="str">
        <x:f>IF(X11="","",ROUND(X11*0.1,2))</x:f>
      </x:c>
      <x:c r="AI11" s="267" t="str">
        <x:f>IF(Y11="","",ROUND(Y11*0.05,2))</x:f>
      </x:c>
      <x:c r="AJ11" s="267" t="str">
        <x:f>IF(Z11="","",ROUND(Z11*0.05,2))</x:f>
      </x:c>
      <x:c r="AK11" s="267" t="str">
        <x:f>IF(AA11="","",ROUND(AA11*0.05,2))</x:f>
      </x:c>
      <x:c r="AL11" s="267" t="str">
        <x:f>IF(AB11="","",ROUND(AB11*0.05,2))</x:f>
      </x:c>
      <x:c r="AM11" s="269" t="str">
        <x:f>IF(B11="","",IF(COUNT(S11:AB11)&lt;10,"",ROUND(SUM(AC11:AL11),2)))</x:f>
      </x:c>
      <x:c r="AN11" s="267" t="str">
        <x:f>IF(AM11="","",IF(AM11&gt;=90,"ល្អប្រសើរ",IF(AM11&gt;=80,"ល្អ",IF(AM11&gt;=70,"មធ្យមល្អ",IF(AM11&gt;=60,"មធ្យម","ត្រូវកែលម្អ")))))</x:f>
      </x:c>
      <x:c r="AO11" s="267" t="str">
        <x:f>IF(AM11="","",RANK.EQ(AM11,$AM$8:$AM$27,0))</x:f>
      </x:c>
      <x:c r="AP11" s="270" t="str">
        <x:v>មិនទាន់ផ្ទៀងផ្ទាត់ GitHub account — ប្រើ Task, Meeting, Document និង Demo evidence</x:v>
      </x:c>
    </x:row>
    <x:row r="12" ht="30" customHeight="1">
      <x:c r="A12" s="263" t="n">
        <x:v>5</x:v>
      </x:c>
      <x:c r="B12" s="264" t="str">
        <x:v>រ៉ាន់ ណារ៉ាត់</x:v>
      </x:c>
      <x:c r="C12" s="265" t="str">
        <x:v>Ran Narath</x:v>
      </x:c>
      <x:c r="D12" s="264" t="str">
        <x:v>Frontend — User</x:v>
      </x:c>
      <x:c r="E12" s="266"/>
      <x:c r="F12" s="266"/>
      <x:c r="G12" s="266"/>
      <x:c r="H12" s="266"/>
      <x:c r="I12" s="266"/>
      <x:c r="J12" s="266"/>
      <x:c r="K12" s="266"/>
      <x:c r="L12" s="266"/>
      <x:c r="M12" s="266"/>
      <x:c r="N12" s="266"/>
      <x:c r="O12" s="266"/>
      <x:c r="P12" s="266"/>
      <x:c r="Q12" s="267" t="str">
        <x:f>IF(B12="","",IF(COUNTA(E12:P12)=0,"",COUNTIF(E12:P12,"1")))</x:f>
      </x:c>
      <x:c r="R12" s="267" t="str">
        <x:f>IF(B12="","",IF(COUNTA(E12:P12)=0,"",ROUND((COUNTIF(E12:P12,"1")+0.5*COUNTIF(E12:P12,"L"))/12*100,0)))</x:f>
      </x:c>
      <x:c r="S12" s="268" t="str">
        <x:f>IF(B12="","",R12)</x:f>
      </x:c>
      <x:c r="T12" s="268"/>
      <x:c r="U12" s="268"/>
      <x:c r="V12" s="268"/>
      <x:c r="W12" s="268"/>
      <x:c r="X12" s="268"/>
      <x:c r="Y12" s="268"/>
      <x:c r="Z12" s="268"/>
      <x:c r="AA12" s="268"/>
      <x:c r="AB12" s="268"/>
      <x:c r="AC12" s="267" t="str">
        <x:f>IF(S12="","",ROUND(S12*0.1,2))</x:f>
      </x:c>
      <x:c r="AD12" s="267" t="str">
        <x:f>IF(T12="","",ROUND(T12*0.1,2))</x:f>
      </x:c>
      <x:c r="AE12" s="267" t="str">
        <x:f>IF(U12="","",ROUND(U12*0.25,2))</x:f>
      </x:c>
      <x:c r="AF12" s="267" t="str">
        <x:f>IF(V12="","",ROUND(V12*0.1,2))</x:f>
      </x:c>
      <x:c r="AG12" s="267" t="str">
        <x:f>IF(W12="","",ROUND(W12*0.15,2))</x:f>
      </x:c>
      <x:c r="AH12" s="267" t="str">
        <x:f>IF(X12="","",ROUND(X12*0.1,2))</x:f>
      </x:c>
      <x:c r="AI12" s="267" t="str">
        <x:f>IF(Y12="","",ROUND(Y12*0.05,2))</x:f>
      </x:c>
      <x:c r="AJ12" s="267" t="str">
        <x:f>IF(Z12="","",ROUND(Z12*0.05,2))</x:f>
      </x:c>
      <x:c r="AK12" s="267" t="str">
        <x:f>IF(AA12="","",ROUND(AA12*0.05,2))</x:f>
      </x:c>
      <x:c r="AL12" s="267" t="str">
        <x:f>IF(AB12="","",ROUND(AB12*0.05,2))</x:f>
      </x:c>
      <x:c r="AM12" s="269" t="str">
        <x:f>IF(B12="","",IF(COUNT(S12:AB12)&lt;10,"",ROUND(SUM(AC12:AL12),2)))</x:f>
      </x:c>
      <x:c r="AN12" s="267" t="str">
        <x:f>IF(AM12="","",IF(AM12&gt;=90,"ល្អប្រសើរ",IF(AM12&gt;=80,"ល្អ",IF(AM12&gt;=70,"មធ្យមល្អ",IF(AM12&gt;=60,"មធ្យម","ត្រូវកែលម្អ")))))</x:f>
      </x:c>
      <x:c r="AO12" s="267" t="str">
        <x:f>IF(AM12="","",RANK.EQ(AM12,$AM$8:$AM$27,0))</x:f>
      </x:c>
      <x:c r="AP12" s="270" t="str">
        <x:v>មិនទាន់ផ្ទៀងផ្ទាត់ GitHub account — ប្រើ Task, Meeting, Document និង Demo evidence</x:v>
      </x:c>
    </x:row>
    <x:row r="13" ht="30" customHeight="1">
      <x:c r="A13" s="263" t="n">
        <x:v>6</x:v>
      </x:c>
      <x:c r="B13" s="264" t="str">
        <x:v>គុយ ដាលី</x:v>
      </x:c>
      <x:c r="C13" s="265" t="str">
        <x:v>Kuy Daly</x:v>
      </x:c>
      <x:c r="D13" s="264" t="str">
        <x:v>Backend</x:v>
      </x:c>
      <x:c r="E13" s="266"/>
      <x:c r="F13" s="266"/>
      <x:c r="G13" s="266"/>
      <x:c r="H13" s="266"/>
      <x:c r="I13" s="266"/>
      <x:c r="J13" s="266"/>
      <x:c r="K13" s="266"/>
      <x:c r="L13" s="266"/>
      <x:c r="M13" s="266"/>
      <x:c r="N13" s="266"/>
      <x:c r="O13" s="266"/>
      <x:c r="P13" s="266"/>
      <x:c r="Q13" s="267" t="str">
        <x:f>IF(B13="","",IF(COUNTA(E13:P13)=0,"",COUNTIF(E13:P13,"1")))</x:f>
      </x:c>
      <x:c r="R13" s="267" t="str">
        <x:f>IF(B13="","",IF(COUNTA(E13:P13)=0,"",ROUND((COUNTIF(E13:P13,"1")+0.5*COUNTIF(E13:P13,"L"))/12*100,0)))</x:f>
      </x:c>
      <x:c r="S13" s="268" t="str">
        <x:f>IF(B13="","",R13)</x:f>
      </x:c>
      <x:c r="T13" s="268"/>
      <x:c r="U13" s="268"/>
      <x:c r="V13" s="268"/>
      <x:c r="W13" s="268"/>
      <x:c r="X13" s="268"/>
      <x:c r="Y13" s="268"/>
      <x:c r="Z13" s="268"/>
      <x:c r="AA13" s="268"/>
      <x:c r="AB13" s="268"/>
      <x:c r="AC13" s="267" t="str">
        <x:f>IF(S13="","",ROUND(S13*0.1,2))</x:f>
      </x:c>
      <x:c r="AD13" s="267" t="str">
        <x:f>IF(T13="","",ROUND(T13*0.1,2))</x:f>
      </x:c>
      <x:c r="AE13" s="267" t="str">
        <x:f>IF(U13="","",ROUND(U13*0.25,2))</x:f>
      </x:c>
      <x:c r="AF13" s="267" t="str">
        <x:f>IF(V13="","",ROUND(V13*0.1,2))</x:f>
      </x:c>
      <x:c r="AG13" s="267" t="str">
        <x:f>IF(W13="","",ROUND(W13*0.15,2))</x:f>
      </x:c>
      <x:c r="AH13" s="267" t="str">
        <x:f>IF(X13="","",ROUND(X13*0.1,2))</x:f>
      </x:c>
      <x:c r="AI13" s="267" t="str">
        <x:f>IF(Y13="","",ROUND(Y13*0.05,2))</x:f>
      </x:c>
      <x:c r="AJ13" s="267" t="str">
        <x:f>IF(Z13="","",ROUND(Z13*0.05,2))</x:f>
      </x:c>
      <x:c r="AK13" s="267" t="str">
        <x:f>IF(AA13="","",ROUND(AA13*0.05,2))</x:f>
      </x:c>
      <x:c r="AL13" s="267" t="str">
        <x:f>IF(AB13="","",ROUND(AB13*0.05,2))</x:f>
      </x:c>
      <x:c r="AM13" s="269" t="str">
        <x:f>IF(B13="","",IF(COUNT(S13:AB13)&lt;10,"",ROUND(SUM(AC13:AL13),2)))</x:f>
      </x:c>
      <x:c r="AN13" s="267" t="str">
        <x:f>IF(AM13="","",IF(AM13&gt;=90,"ល្អប្រសើរ",IF(AM13&gt;=80,"ល្អ",IF(AM13&gt;=70,"មធ្យមល្អ",IF(AM13&gt;=60,"មធ្យម","ត្រូវកែលម្អ")))))</x:f>
      </x:c>
      <x:c r="AO13" s="267" t="str">
        <x:f>IF(AM13="","",RANK.EQ(AM13,$AM$8:$AM$27,0))</x:f>
      </x:c>
      <x:c r="AP13" s="270" t="str">
        <x:v>មិនទាន់ផ្ទៀងផ្ទាត់ GitHub account — ប្រើ Task, Meeting, Document និង Demo evidence</x:v>
      </x:c>
    </x:row>
    <x:row r="14" ht="22" customHeight="1">
      <x:c r="A14" s="263" t="n">
        <x:v>7</x:v>
      </x:c>
      <x:c r="B14" s="264"/>
      <x:c r="C14" s="265"/>
      <x:c r="D14" s="264"/>
      <x:c r="E14" s="266"/>
      <x:c r="F14" s="266"/>
      <x:c r="G14" s="266"/>
      <x:c r="H14" s="266"/>
      <x:c r="I14" s="266"/>
      <x:c r="J14" s="266"/>
      <x:c r="K14" s="266"/>
      <x:c r="L14" s="266"/>
      <x:c r="M14" s="266"/>
      <x:c r="N14" s="266"/>
      <x:c r="O14" s="266"/>
      <x:c r="P14" s="266"/>
      <x:c r="Q14" s="267" t="str">
        <x:f>IF(B14="","",IF(COUNTA(E14:P14)=0,"",COUNTIF(E14:P14,"1")))</x:f>
      </x:c>
      <x:c r="R14" s="267" t="str">
        <x:f>IF(B14="","",IF(COUNTA(E14:P14)=0,"",ROUND((COUNTIF(E14:P14,"1")+0.5*COUNTIF(E14:P14,"L"))/12*100,0)))</x:f>
      </x:c>
      <x:c r="S14" s="268" t="str">
        <x:f>IF(B14="","",R14)</x:f>
      </x:c>
      <x:c r="T14" s="268"/>
      <x:c r="U14" s="268"/>
      <x:c r="V14" s="268"/>
      <x:c r="W14" s="268"/>
      <x:c r="X14" s="268"/>
      <x:c r="Y14" s="268"/>
      <x:c r="Z14" s="268"/>
      <x:c r="AA14" s="268"/>
      <x:c r="AB14" s="268"/>
      <x:c r="AC14" s="267" t="str">
        <x:f>IF(S14="","",ROUND(S14*0.1,2))</x:f>
      </x:c>
      <x:c r="AD14" s="267" t="str">
        <x:f>IF(T14="","",ROUND(T14*0.1,2))</x:f>
      </x:c>
      <x:c r="AE14" s="267" t="str">
        <x:f>IF(U14="","",ROUND(U14*0.25,2))</x:f>
      </x:c>
      <x:c r="AF14" s="267" t="str">
        <x:f>IF(V14="","",ROUND(V14*0.1,2))</x:f>
      </x:c>
      <x:c r="AG14" s="267" t="str">
        <x:f>IF(W14="","",ROUND(W14*0.15,2))</x:f>
      </x:c>
      <x:c r="AH14" s="267" t="str">
        <x:f>IF(X14="","",ROUND(X14*0.1,2))</x:f>
      </x:c>
      <x:c r="AI14" s="267" t="str">
        <x:f>IF(Y14="","",ROUND(Y14*0.05,2))</x:f>
      </x:c>
      <x:c r="AJ14" s="267" t="str">
        <x:f>IF(Z14="","",ROUND(Z14*0.05,2))</x:f>
      </x:c>
      <x:c r="AK14" s="267" t="str">
        <x:f>IF(AA14="","",ROUND(AA14*0.05,2))</x:f>
      </x:c>
      <x:c r="AL14" s="267" t="str">
        <x:f>IF(AB14="","",ROUND(AB14*0.05,2))</x:f>
      </x:c>
      <x:c r="AM14" s="269" t="str">
        <x:f>IF(B14="","",IF(COUNT(S14:AB14)&lt;10,"",ROUND(SUM(AC14:AL14),2)))</x:f>
      </x:c>
      <x:c r="AN14" s="267" t="str">
        <x:f>IF(AM14="","",IF(AM14&gt;=90,"ល្អប្រសើរ",IF(AM14&gt;=80,"ល្អ",IF(AM14&gt;=70,"មធ្យមល្អ",IF(AM14&gt;=60,"មធ្យម","ត្រូវកែលម្អ")))))</x:f>
      </x:c>
      <x:c r="AO14" s="267" t="str">
        <x:f>IF(AM14="","",RANK.EQ(AM14,$AM$8:$AM$27,0))</x:f>
      </x:c>
      <x:c r="AP14" s="270"/>
    </x:row>
    <x:row r="15" ht="22" customHeight="1">
      <x:c r="A15" s="263" t="n">
        <x:v>8</x:v>
      </x:c>
      <x:c r="B15" s="264"/>
      <x:c r="C15" s="265"/>
      <x:c r="D15" s="264"/>
      <x:c r="E15" s="266"/>
      <x:c r="F15" s="266"/>
      <x:c r="G15" s="266"/>
      <x:c r="H15" s="266"/>
      <x:c r="I15" s="266"/>
      <x:c r="J15" s="266"/>
      <x:c r="K15" s="266"/>
      <x:c r="L15" s="266"/>
      <x:c r="M15" s="266"/>
      <x:c r="N15" s="266"/>
      <x:c r="O15" s="266"/>
      <x:c r="P15" s="266"/>
      <x:c r="Q15" s="267" t="str">
        <x:f>IF(B15="","",IF(COUNTA(E15:P15)=0,"",COUNTIF(E15:P15,"1")))</x:f>
      </x:c>
      <x:c r="R15" s="267" t="str">
        <x:f>IF(B15="","",IF(COUNTA(E15:P15)=0,"",ROUND((COUNTIF(E15:P15,"1")+0.5*COUNTIF(E15:P15,"L"))/12*100,0)))</x:f>
      </x:c>
      <x:c r="S15" s="268" t="str">
        <x:f>IF(B15="","",R15)</x:f>
      </x:c>
      <x:c r="T15" s="268"/>
      <x:c r="U15" s="268"/>
      <x:c r="V15" s="268"/>
      <x:c r="W15" s="268"/>
      <x:c r="X15" s="268"/>
      <x:c r="Y15" s="268"/>
      <x:c r="Z15" s="268"/>
      <x:c r="AA15" s="268"/>
      <x:c r="AB15" s="268"/>
      <x:c r="AC15" s="267" t="str">
        <x:f>IF(S15="","",ROUND(S15*0.1,2))</x:f>
      </x:c>
      <x:c r="AD15" s="267" t="str">
        <x:f>IF(T15="","",ROUND(T15*0.1,2))</x:f>
      </x:c>
      <x:c r="AE15" s="267" t="str">
        <x:f>IF(U15="","",ROUND(U15*0.25,2))</x:f>
      </x:c>
      <x:c r="AF15" s="267" t="str">
        <x:f>IF(V15="","",ROUND(V15*0.1,2))</x:f>
      </x:c>
      <x:c r="AG15" s="267" t="str">
        <x:f>IF(W15="","",ROUND(W15*0.15,2))</x:f>
      </x:c>
      <x:c r="AH15" s="267" t="str">
        <x:f>IF(X15="","",ROUND(X15*0.1,2))</x:f>
      </x:c>
      <x:c r="AI15" s="267" t="str">
        <x:f>IF(Y15="","",ROUND(Y15*0.05,2))</x:f>
      </x:c>
      <x:c r="AJ15" s="267" t="str">
        <x:f>IF(Z15="","",ROUND(Z15*0.05,2))</x:f>
      </x:c>
      <x:c r="AK15" s="267" t="str">
        <x:f>IF(AA15="","",ROUND(AA15*0.05,2))</x:f>
      </x:c>
      <x:c r="AL15" s="267" t="str">
        <x:f>IF(AB15="","",ROUND(AB15*0.05,2))</x:f>
      </x:c>
      <x:c r="AM15" s="269" t="str">
        <x:f>IF(B15="","",IF(COUNT(S15:AB15)&lt;10,"",ROUND(SUM(AC15:AL15),2)))</x:f>
      </x:c>
      <x:c r="AN15" s="267" t="str">
        <x:f>IF(AM15="","",IF(AM15&gt;=90,"ល្អប្រសើរ",IF(AM15&gt;=80,"ល្អ",IF(AM15&gt;=70,"មធ្យមល្អ",IF(AM15&gt;=60,"មធ្យម","ត្រូវកែលម្អ")))))</x:f>
      </x:c>
      <x:c r="AO15" s="267" t="str">
        <x:f>IF(AM15="","",RANK.EQ(AM15,$AM$8:$AM$27,0))</x:f>
      </x:c>
      <x:c r="AP15" s="270"/>
    </x:row>
    <x:row r="16" ht="22" customHeight="1">
      <x:c r="A16" s="263" t="n">
        <x:v>9</x:v>
      </x:c>
      <x:c r="B16" s="264"/>
      <x:c r="C16" s="265"/>
      <x:c r="D16" s="264"/>
      <x:c r="E16" s="266"/>
      <x:c r="F16" s="266"/>
      <x:c r="G16" s="266"/>
      <x:c r="H16" s="266"/>
      <x:c r="I16" s="266"/>
      <x:c r="J16" s="266"/>
      <x:c r="K16" s="266"/>
      <x:c r="L16" s="266"/>
      <x:c r="M16" s="266"/>
      <x:c r="N16" s="266"/>
      <x:c r="O16" s="266"/>
      <x:c r="P16" s="266"/>
      <x:c r="Q16" s="267" t="str">
        <x:f>IF(B16="","",IF(COUNTA(E16:P16)=0,"",COUNTIF(E16:P16,"1")))</x:f>
      </x:c>
      <x:c r="R16" s="267" t="str">
        <x:f>IF(B16="","",IF(COUNTA(E16:P16)=0,"",ROUND((COUNTIF(E16:P16,"1")+0.5*COUNTIF(E16:P16,"L"))/12*100,0)))</x:f>
      </x:c>
      <x:c r="S16" s="268" t="str">
        <x:f>IF(B16="","",R16)</x:f>
      </x:c>
      <x:c r="T16" s="268"/>
      <x:c r="U16" s="268"/>
      <x:c r="V16" s="268"/>
      <x:c r="W16" s="268"/>
      <x:c r="X16" s="268"/>
      <x:c r="Y16" s="268"/>
      <x:c r="Z16" s="268"/>
      <x:c r="AA16" s="268"/>
      <x:c r="AB16" s="268"/>
      <x:c r="AC16" s="267" t="str">
        <x:f>IF(S16="","",ROUND(S16*0.1,2))</x:f>
      </x:c>
      <x:c r="AD16" s="267" t="str">
        <x:f>IF(T16="","",ROUND(T16*0.1,2))</x:f>
      </x:c>
      <x:c r="AE16" s="267" t="str">
        <x:f>IF(U16="","",ROUND(U16*0.25,2))</x:f>
      </x:c>
      <x:c r="AF16" s="267" t="str">
        <x:f>IF(V16="","",ROUND(V16*0.1,2))</x:f>
      </x:c>
      <x:c r="AG16" s="267" t="str">
        <x:f>IF(W16="","",ROUND(W16*0.15,2))</x:f>
      </x:c>
      <x:c r="AH16" s="267" t="str">
        <x:f>IF(X16="","",ROUND(X16*0.1,2))</x:f>
      </x:c>
      <x:c r="AI16" s="267" t="str">
        <x:f>IF(Y16="","",ROUND(Y16*0.05,2))</x:f>
      </x:c>
      <x:c r="AJ16" s="267" t="str">
        <x:f>IF(Z16="","",ROUND(Z16*0.05,2))</x:f>
      </x:c>
      <x:c r="AK16" s="267" t="str">
        <x:f>IF(AA16="","",ROUND(AA16*0.05,2))</x:f>
      </x:c>
      <x:c r="AL16" s="267" t="str">
        <x:f>IF(AB16="","",ROUND(AB16*0.05,2))</x:f>
      </x:c>
      <x:c r="AM16" s="269" t="str">
        <x:f>IF(B16="","",IF(COUNT(S16:AB16)&lt;10,"",ROUND(SUM(AC16:AL16),2)))</x:f>
      </x:c>
      <x:c r="AN16" s="267" t="str">
        <x:f>IF(AM16="","",IF(AM16&gt;=90,"ល្អប្រសើរ",IF(AM16&gt;=80,"ល្អ",IF(AM16&gt;=70,"មធ្យមល្អ",IF(AM16&gt;=60,"មធ្យម","ត្រូវកែលម្អ")))))</x:f>
      </x:c>
      <x:c r="AO16" s="267" t="str">
        <x:f>IF(AM16="","",RANK.EQ(AM16,$AM$8:$AM$27,0))</x:f>
      </x:c>
      <x:c r="AP16" s="270"/>
    </x:row>
    <x:row r="17" ht="22" customHeight="1">
      <x:c r="A17" s="263" t="n">
        <x:v>10</x:v>
      </x:c>
      <x:c r="B17" s="264"/>
      <x:c r="C17" s="265"/>
      <x:c r="D17" s="264"/>
      <x:c r="E17" s="266"/>
      <x:c r="F17" s="266"/>
      <x:c r="G17" s="266"/>
      <x:c r="H17" s="266"/>
      <x:c r="I17" s="266"/>
      <x:c r="J17" s="266"/>
      <x:c r="K17" s="266"/>
      <x:c r="L17" s="266"/>
      <x:c r="M17" s="266"/>
      <x:c r="N17" s="266"/>
      <x:c r="O17" s="266"/>
      <x:c r="P17" s="266"/>
      <x:c r="Q17" s="267" t="str">
        <x:f>IF(B17="","",IF(COUNTA(E17:P17)=0,"",COUNTIF(E17:P17,"1")))</x:f>
      </x:c>
      <x:c r="R17" s="267" t="str">
        <x:f>IF(B17="","",IF(COUNTA(E17:P17)=0,"",ROUND((COUNTIF(E17:P17,"1")+0.5*COUNTIF(E17:P17,"L"))/12*100,0)))</x:f>
      </x:c>
      <x:c r="S17" s="268" t="str">
        <x:f>IF(B17="","",R17)</x:f>
      </x:c>
      <x:c r="T17" s="268"/>
      <x:c r="U17" s="268"/>
      <x:c r="V17" s="268"/>
      <x:c r="W17" s="268"/>
      <x:c r="X17" s="268"/>
      <x:c r="Y17" s="268"/>
      <x:c r="Z17" s="268"/>
      <x:c r="AA17" s="268"/>
      <x:c r="AB17" s="268"/>
      <x:c r="AC17" s="267" t="str">
        <x:f>IF(S17="","",ROUND(S17*0.1,2))</x:f>
      </x:c>
      <x:c r="AD17" s="267" t="str">
        <x:f>IF(T17="","",ROUND(T17*0.1,2))</x:f>
      </x:c>
      <x:c r="AE17" s="267" t="str">
        <x:f>IF(U17="","",ROUND(U17*0.25,2))</x:f>
      </x:c>
      <x:c r="AF17" s="267" t="str">
        <x:f>IF(V17="","",ROUND(V17*0.1,2))</x:f>
      </x:c>
      <x:c r="AG17" s="267" t="str">
        <x:f>IF(W17="","",ROUND(W17*0.15,2))</x:f>
      </x:c>
      <x:c r="AH17" s="267" t="str">
        <x:f>IF(X17="","",ROUND(X17*0.1,2))</x:f>
      </x:c>
      <x:c r="AI17" s="267" t="str">
        <x:f>IF(Y17="","",ROUND(Y17*0.05,2))</x:f>
      </x:c>
      <x:c r="AJ17" s="267" t="str">
        <x:f>IF(Z17="","",ROUND(Z17*0.05,2))</x:f>
      </x:c>
      <x:c r="AK17" s="267" t="str">
        <x:f>IF(AA17="","",ROUND(AA17*0.05,2))</x:f>
      </x:c>
      <x:c r="AL17" s="267" t="str">
        <x:f>IF(AB17="","",ROUND(AB17*0.05,2))</x:f>
      </x:c>
      <x:c r="AM17" s="269" t="str">
        <x:f>IF(B17="","",IF(COUNT(S17:AB17)&lt;10,"",ROUND(SUM(AC17:AL17),2)))</x:f>
      </x:c>
      <x:c r="AN17" s="267" t="str">
        <x:f>IF(AM17="","",IF(AM17&gt;=90,"ល្អប្រសើរ",IF(AM17&gt;=80,"ល្អ",IF(AM17&gt;=70,"មធ្យមល្អ",IF(AM17&gt;=60,"មធ្យម","ត្រូវកែលម្អ")))))</x:f>
      </x:c>
      <x:c r="AO17" s="267" t="str">
        <x:f>IF(AM17="","",RANK.EQ(AM17,$AM$8:$AM$27,0))</x:f>
      </x:c>
      <x:c r="AP17" s="270"/>
    </x:row>
    <x:row r="18" ht="22" customHeight="1">
      <x:c r="A18" s="263" t="n">
        <x:v>11</x:v>
      </x:c>
      <x:c r="B18" s="264"/>
      <x:c r="C18" s="265"/>
      <x:c r="D18" s="264"/>
      <x:c r="E18" s="266"/>
      <x:c r="F18" s="266"/>
      <x:c r="G18" s="266"/>
      <x:c r="H18" s="266"/>
      <x:c r="I18" s="266"/>
      <x:c r="J18" s="266"/>
      <x:c r="K18" s="266"/>
      <x:c r="L18" s="266"/>
      <x:c r="M18" s="266"/>
      <x:c r="N18" s="266"/>
      <x:c r="O18" s="266"/>
      <x:c r="P18" s="266"/>
      <x:c r="Q18" s="267" t="str">
        <x:f>IF(B18="","",IF(COUNTA(E18:P18)=0,"",COUNTIF(E18:P18,"1")))</x:f>
      </x:c>
      <x:c r="R18" s="267" t="str">
        <x:f>IF(B18="","",IF(COUNTA(E18:P18)=0,"",ROUND((COUNTIF(E18:P18,"1")+0.5*COUNTIF(E18:P18,"L"))/12*100,0)))</x:f>
      </x:c>
      <x:c r="S18" s="268" t="str">
        <x:f>IF(B18="","",R18)</x:f>
      </x:c>
      <x:c r="T18" s="268"/>
      <x:c r="U18" s="268"/>
      <x:c r="V18" s="268"/>
      <x:c r="W18" s="268"/>
      <x:c r="X18" s="268"/>
      <x:c r="Y18" s="268"/>
      <x:c r="Z18" s="268"/>
      <x:c r="AA18" s="268"/>
      <x:c r="AB18" s="268"/>
      <x:c r="AC18" s="267" t="str">
        <x:f>IF(S18="","",ROUND(S18*0.1,2))</x:f>
      </x:c>
      <x:c r="AD18" s="267" t="str">
        <x:f>IF(T18="","",ROUND(T18*0.1,2))</x:f>
      </x:c>
      <x:c r="AE18" s="267" t="str">
        <x:f>IF(U18="","",ROUND(U18*0.25,2))</x:f>
      </x:c>
      <x:c r="AF18" s="267" t="str">
        <x:f>IF(V18="","",ROUND(V18*0.1,2))</x:f>
      </x:c>
      <x:c r="AG18" s="267" t="str">
        <x:f>IF(W18="","",ROUND(W18*0.15,2))</x:f>
      </x:c>
      <x:c r="AH18" s="267" t="str">
        <x:f>IF(X18="","",ROUND(X18*0.1,2))</x:f>
      </x:c>
      <x:c r="AI18" s="267" t="str">
        <x:f>IF(Y18="","",ROUND(Y18*0.05,2))</x:f>
      </x:c>
      <x:c r="AJ18" s="267" t="str">
        <x:f>IF(Z18="","",ROUND(Z18*0.05,2))</x:f>
      </x:c>
      <x:c r="AK18" s="267" t="str">
        <x:f>IF(AA18="","",ROUND(AA18*0.05,2))</x:f>
      </x:c>
      <x:c r="AL18" s="267" t="str">
        <x:f>IF(AB18="","",ROUND(AB18*0.05,2))</x:f>
      </x:c>
      <x:c r="AM18" s="269" t="str">
        <x:f>IF(B18="","",IF(COUNT(S18:AB18)&lt;10,"",ROUND(SUM(AC18:AL18),2)))</x:f>
      </x:c>
      <x:c r="AN18" s="267" t="str">
        <x:f>IF(AM18="","",IF(AM18&gt;=90,"ល្អប្រសើរ",IF(AM18&gt;=80,"ល្អ",IF(AM18&gt;=70,"មធ្យមល្អ",IF(AM18&gt;=60,"មធ្យម","ត្រូវកែលម្អ")))))</x:f>
      </x:c>
      <x:c r="AO18" s="267" t="str">
        <x:f>IF(AM18="","",RANK.EQ(AM18,$AM$8:$AM$27,0))</x:f>
      </x:c>
      <x:c r="AP18" s="270"/>
    </x:row>
    <x:row r="19" ht="22" customHeight="1">
      <x:c r="A19" s="263" t="n">
        <x:v>12</x:v>
      </x:c>
      <x:c r="B19" s="264"/>
      <x:c r="C19" s="265"/>
      <x:c r="D19" s="264"/>
      <x:c r="E19" s="266"/>
      <x:c r="F19" s="266"/>
      <x:c r="G19" s="266"/>
      <x:c r="H19" s="266"/>
      <x:c r="I19" s="266"/>
      <x:c r="J19" s="266"/>
      <x:c r="K19" s="266"/>
      <x:c r="L19" s="266"/>
      <x:c r="M19" s="266"/>
      <x:c r="N19" s="266"/>
      <x:c r="O19" s="266"/>
      <x:c r="P19" s="266"/>
      <x:c r="Q19" s="267" t="str">
        <x:f>IF(B19="","",IF(COUNTA(E19:P19)=0,"",COUNTIF(E19:P19,"1")))</x:f>
      </x:c>
      <x:c r="R19" s="267" t="str">
        <x:f>IF(B19="","",IF(COUNTA(E19:P19)=0,"",ROUND((COUNTIF(E19:P19,"1")+0.5*COUNTIF(E19:P19,"L"))/12*100,0)))</x:f>
      </x:c>
      <x:c r="S19" s="268" t="str">
        <x:f>IF(B19="","",R19)</x:f>
      </x:c>
      <x:c r="T19" s="268"/>
      <x:c r="U19" s="268"/>
      <x:c r="V19" s="268"/>
      <x:c r="W19" s="268"/>
      <x:c r="X19" s="268"/>
      <x:c r="Y19" s="268"/>
      <x:c r="Z19" s="268"/>
      <x:c r="AA19" s="268"/>
      <x:c r="AB19" s="268"/>
      <x:c r="AC19" s="267" t="str">
        <x:f>IF(S19="","",ROUND(S19*0.1,2))</x:f>
      </x:c>
      <x:c r="AD19" s="267" t="str">
        <x:f>IF(T19="","",ROUND(T19*0.1,2))</x:f>
      </x:c>
      <x:c r="AE19" s="267" t="str">
        <x:f>IF(U19="","",ROUND(U19*0.25,2))</x:f>
      </x:c>
      <x:c r="AF19" s="267" t="str">
        <x:f>IF(V19="","",ROUND(V19*0.1,2))</x:f>
      </x:c>
      <x:c r="AG19" s="267" t="str">
        <x:f>IF(W19="","",ROUND(W19*0.15,2))</x:f>
      </x:c>
      <x:c r="AH19" s="267" t="str">
        <x:f>IF(X19="","",ROUND(X19*0.1,2))</x:f>
      </x:c>
      <x:c r="AI19" s="267" t="str">
        <x:f>IF(Y19="","",ROUND(Y19*0.05,2))</x:f>
      </x:c>
      <x:c r="AJ19" s="267" t="str">
        <x:f>IF(Z19="","",ROUND(Z19*0.05,2))</x:f>
      </x:c>
      <x:c r="AK19" s="267" t="str">
        <x:f>IF(AA19="","",ROUND(AA19*0.05,2))</x:f>
      </x:c>
      <x:c r="AL19" s="267" t="str">
        <x:f>IF(AB19="","",ROUND(AB19*0.05,2))</x:f>
      </x:c>
      <x:c r="AM19" s="269" t="str">
        <x:f>IF(B19="","",IF(COUNT(S19:AB19)&lt;10,"",ROUND(SUM(AC19:AL19),2)))</x:f>
      </x:c>
      <x:c r="AN19" s="267" t="str">
        <x:f>IF(AM19="","",IF(AM19&gt;=90,"ល្អប្រសើរ",IF(AM19&gt;=80,"ល្អ",IF(AM19&gt;=70,"មធ្យមល្អ",IF(AM19&gt;=60,"មធ្យម","ត្រូវកែលម្អ")))))</x:f>
      </x:c>
      <x:c r="AO19" s="267" t="str">
        <x:f>IF(AM19="","",RANK.EQ(AM19,$AM$8:$AM$27,0))</x:f>
      </x:c>
      <x:c r="AP19" s="270"/>
    </x:row>
    <x:row r="20" ht="22" customHeight="1">
      <x:c r="A20" s="263" t="n">
        <x:v>13</x:v>
      </x:c>
      <x:c r="B20" s="264"/>
      <x:c r="C20" s="265"/>
      <x:c r="D20" s="264"/>
      <x:c r="E20" s="266"/>
      <x:c r="F20" s="266"/>
      <x:c r="G20" s="266"/>
      <x:c r="H20" s="266"/>
      <x:c r="I20" s="266"/>
      <x:c r="J20" s="266"/>
      <x:c r="K20" s="266"/>
      <x:c r="L20" s="266"/>
      <x:c r="M20" s="266"/>
      <x:c r="N20" s="266"/>
      <x:c r="O20" s="266"/>
      <x:c r="P20" s="266"/>
      <x:c r="Q20" s="267" t="str">
        <x:f>IF(B20="","",IF(COUNTA(E20:P20)=0,"",COUNTIF(E20:P20,"1")))</x:f>
      </x:c>
      <x:c r="R20" s="267" t="str">
        <x:f>IF(B20="","",IF(COUNTA(E20:P20)=0,"",ROUND((COUNTIF(E20:P20,"1")+0.5*COUNTIF(E20:P20,"L"))/12*100,0)))</x:f>
      </x:c>
      <x:c r="S20" s="268" t="str">
        <x:f>IF(B20="","",R20)</x:f>
      </x:c>
      <x:c r="T20" s="268"/>
      <x:c r="U20" s="268"/>
      <x:c r="V20" s="268"/>
      <x:c r="W20" s="268"/>
      <x:c r="X20" s="268"/>
      <x:c r="Y20" s="268"/>
      <x:c r="Z20" s="268"/>
      <x:c r="AA20" s="268"/>
      <x:c r="AB20" s="268"/>
      <x:c r="AC20" s="267" t="str">
        <x:f>IF(S20="","",ROUND(S20*0.1,2))</x:f>
      </x:c>
      <x:c r="AD20" s="267" t="str">
        <x:f>IF(T20="","",ROUND(T20*0.1,2))</x:f>
      </x:c>
      <x:c r="AE20" s="267" t="str">
        <x:f>IF(U20="","",ROUND(U20*0.25,2))</x:f>
      </x:c>
      <x:c r="AF20" s="267" t="str">
        <x:f>IF(V20="","",ROUND(V20*0.1,2))</x:f>
      </x:c>
      <x:c r="AG20" s="267" t="str">
        <x:f>IF(W20="","",ROUND(W20*0.15,2))</x:f>
      </x:c>
      <x:c r="AH20" s="267" t="str">
        <x:f>IF(X20="","",ROUND(X20*0.1,2))</x:f>
      </x:c>
      <x:c r="AI20" s="267" t="str">
        <x:f>IF(Y20="","",ROUND(Y20*0.05,2))</x:f>
      </x:c>
      <x:c r="AJ20" s="267" t="str">
        <x:f>IF(Z20="","",ROUND(Z20*0.05,2))</x:f>
      </x:c>
      <x:c r="AK20" s="267" t="str">
        <x:f>IF(AA20="","",ROUND(AA20*0.05,2))</x:f>
      </x:c>
      <x:c r="AL20" s="267" t="str">
        <x:f>IF(AB20="","",ROUND(AB20*0.05,2))</x:f>
      </x:c>
      <x:c r="AM20" s="269" t="str">
        <x:f>IF(B20="","",IF(COUNT(S20:AB20)&lt;10,"",ROUND(SUM(AC20:AL20),2)))</x:f>
      </x:c>
      <x:c r="AN20" s="267" t="str">
        <x:f>IF(AM20="","",IF(AM20&gt;=90,"ល្អប្រសើរ",IF(AM20&gt;=80,"ល្អ",IF(AM20&gt;=70,"មធ្យមល្អ",IF(AM20&gt;=60,"មធ្យម","ត្រូវកែលម្អ")))))</x:f>
      </x:c>
      <x:c r="AO20" s="267" t="str">
        <x:f>IF(AM20="","",RANK.EQ(AM20,$AM$8:$AM$27,0))</x:f>
      </x:c>
      <x:c r="AP20" s="270"/>
    </x:row>
    <x:row r="21" ht="22" customHeight="1">
      <x:c r="A21" s="263" t="n">
        <x:v>14</x:v>
      </x:c>
      <x:c r="B21" s="264"/>
      <x:c r="C21" s="265"/>
      <x:c r="D21" s="264"/>
      <x:c r="E21" s="266"/>
      <x:c r="F21" s="266"/>
      <x:c r="G21" s="266"/>
      <x:c r="H21" s="266"/>
      <x:c r="I21" s="266"/>
      <x:c r="J21" s="266"/>
      <x:c r="K21" s="266"/>
      <x:c r="L21" s="266"/>
      <x:c r="M21" s="266"/>
      <x:c r="N21" s="266"/>
      <x:c r="O21" s="266"/>
      <x:c r="P21" s="266"/>
      <x:c r="Q21" s="267" t="str">
        <x:f>IF(B21="","",IF(COUNTA(E21:P21)=0,"",COUNTIF(E21:P21,"1")))</x:f>
      </x:c>
      <x:c r="R21" s="267" t="str">
        <x:f>IF(B21="","",IF(COUNTA(E21:P21)=0,"",ROUND((COUNTIF(E21:P21,"1")+0.5*COUNTIF(E21:P21,"L"))/12*100,0)))</x:f>
      </x:c>
      <x:c r="S21" s="268" t="str">
        <x:f>IF(B21="","",R21)</x:f>
      </x:c>
      <x:c r="T21" s="268"/>
      <x:c r="U21" s="268"/>
      <x:c r="V21" s="268"/>
      <x:c r="W21" s="268"/>
      <x:c r="X21" s="268"/>
      <x:c r="Y21" s="268"/>
      <x:c r="Z21" s="268"/>
      <x:c r="AA21" s="268"/>
      <x:c r="AB21" s="268"/>
      <x:c r="AC21" s="267" t="str">
        <x:f>IF(S21="","",ROUND(S21*0.1,2))</x:f>
      </x:c>
      <x:c r="AD21" s="267" t="str">
        <x:f>IF(T21="","",ROUND(T21*0.1,2))</x:f>
      </x:c>
      <x:c r="AE21" s="267" t="str">
        <x:f>IF(U21="","",ROUND(U21*0.25,2))</x:f>
      </x:c>
      <x:c r="AF21" s="267" t="str">
        <x:f>IF(V21="","",ROUND(V21*0.1,2))</x:f>
      </x:c>
      <x:c r="AG21" s="267" t="str">
        <x:f>IF(W21="","",ROUND(W21*0.15,2))</x:f>
      </x:c>
      <x:c r="AH21" s="267" t="str">
        <x:f>IF(X21="","",ROUND(X21*0.1,2))</x:f>
      </x:c>
      <x:c r="AI21" s="267" t="str">
        <x:f>IF(Y21="","",ROUND(Y21*0.05,2))</x:f>
      </x:c>
      <x:c r="AJ21" s="267" t="str">
        <x:f>IF(Z21="","",ROUND(Z21*0.05,2))</x:f>
      </x:c>
      <x:c r="AK21" s="267" t="str">
        <x:f>IF(AA21="","",ROUND(AA21*0.05,2))</x:f>
      </x:c>
      <x:c r="AL21" s="267" t="str">
        <x:f>IF(AB21="","",ROUND(AB21*0.05,2))</x:f>
      </x:c>
      <x:c r="AM21" s="269" t="str">
        <x:f>IF(B21="","",IF(COUNT(S21:AB21)&lt;10,"",ROUND(SUM(AC21:AL21),2)))</x:f>
      </x:c>
      <x:c r="AN21" s="267" t="str">
        <x:f>IF(AM21="","",IF(AM21&gt;=90,"ល្អប្រសើរ",IF(AM21&gt;=80,"ល្អ",IF(AM21&gt;=70,"មធ្យមល្អ",IF(AM21&gt;=60,"មធ្យម","ត្រូវកែលម្អ")))))</x:f>
      </x:c>
      <x:c r="AO21" s="267" t="str">
        <x:f>IF(AM21="","",RANK.EQ(AM21,$AM$8:$AM$27,0))</x:f>
      </x:c>
      <x:c r="AP21" s="270"/>
    </x:row>
    <x:row r="22" ht="22" customHeight="1">
      <x:c r="A22" s="263" t="n">
        <x:v>15</x:v>
      </x:c>
      <x:c r="B22" s="264"/>
      <x:c r="C22" s="265"/>
      <x:c r="D22" s="264"/>
      <x:c r="E22" s="266"/>
      <x:c r="F22" s="266"/>
      <x:c r="G22" s="266"/>
      <x:c r="H22" s="266"/>
      <x:c r="I22" s="266"/>
      <x:c r="J22" s="266"/>
      <x:c r="K22" s="266"/>
      <x:c r="L22" s="266"/>
      <x:c r="M22" s="266"/>
      <x:c r="N22" s="266"/>
      <x:c r="O22" s="266"/>
      <x:c r="P22" s="266"/>
      <x:c r="Q22" s="267" t="str">
        <x:f>IF(B22="","",IF(COUNTA(E22:P22)=0,"",COUNTIF(E22:P22,"1")))</x:f>
      </x:c>
      <x:c r="R22" s="267" t="str">
        <x:f>IF(B22="","",IF(COUNTA(E22:P22)=0,"",ROUND((COUNTIF(E22:P22,"1")+0.5*COUNTIF(E22:P22,"L"))/12*100,0)))</x:f>
      </x:c>
      <x:c r="S22" s="268" t="str">
        <x:f>IF(B22="","",R22)</x:f>
      </x:c>
      <x:c r="T22" s="268"/>
      <x:c r="U22" s="268"/>
      <x:c r="V22" s="268"/>
      <x:c r="W22" s="268"/>
      <x:c r="X22" s="268"/>
      <x:c r="Y22" s="268"/>
      <x:c r="Z22" s="268"/>
      <x:c r="AA22" s="268"/>
      <x:c r="AB22" s="268"/>
      <x:c r="AC22" s="267" t="str">
        <x:f>IF(S22="","",ROUND(S22*0.1,2))</x:f>
      </x:c>
      <x:c r="AD22" s="267" t="str">
        <x:f>IF(T22="","",ROUND(T22*0.1,2))</x:f>
      </x:c>
      <x:c r="AE22" s="267" t="str">
        <x:f>IF(U22="","",ROUND(U22*0.25,2))</x:f>
      </x:c>
      <x:c r="AF22" s="267" t="str">
        <x:f>IF(V22="","",ROUND(V22*0.1,2))</x:f>
      </x:c>
      <x:c r="AG22" s="267" t="str">
        <x:f>IF(W22="","",ROUND(W22*0.15,2))</x:f>
      </x:c>
      <x:c r="AH22" s="267" t="str">
        <x:f>IF(X22="","",ROUND(X22*0.1,2))</x:f>
      </x:c>
      <x:c r="AI22" s="267" t="str">
        <x:f>IF(Y22="","",ROUND(Y22*0.05,2))</x:f>
      </x:c>
      <x:c r="AJ22" s="267" t="str">
        <x:f>IF(Z22="","",ROUND(Z22*0.05,2))</x:f>
      </x:c>
      <x:c r="AK22" s="267" t="str">
        <x:f>IF(AA22="","",ROUND(AA22*0.05,2))</x:f>
      </x:c>
      <x:c r="AL22" s="267" t="str">
        <x:f>IF(AB22="","",ROUND(AB22*0.05,2))</x:f>
      </x:c>
      <x:c r="AM22" s="269" t="str">
        <x:f>IF(B22="","",IF(COUNT(S22:AB22)&lt;10,"",ROUND(SUM(AC22:AL22),2)))</x:f>
      </x:c>
      <x:c r="AN22" s="267" t="str">
        <x:f>IF(AM22="","",IF(AM22&gt;=90,"ល្អប្រសើរ",IF(AM22&gt;=80,"ល្អ",IF(AM22&gt;=70,"មធ្យមល្អ",IF(AM22&gt;=60,"មធ្យម","ត្រូវកែលម្អ")))))</x:f>
      </x:c>
      <x:c r="AO22" s="267" t="str">
        <x:f>IF(AM22="","",RANK.EQ(AM22,$AM$8:$AM$27,0))</x:f>
      </x:c>
      <x:c r="AP22" s="270"/>
    </x:row>
    <x:row r="23" ht="22" customHeight="1">
      <x:c r="A23" s="263" t="n">
        <x:v>16</x:v>
      </x:c>
      <x:c r="B23" s="264"/>
      <x:c r="C23" s="265"/>
      <x:c r="D23" s="264"/>
      <x:c r="E23" s="266"/>
      <x:c r="F23" s="266"/>
      <x:c r="G23" s="266"/>
      <x:c r="H23" s="266"/>
      <x:c r="I23" s="266"/>
      <x:c r="J23" s="266"/>
      <x:c r="K23" s="266"/>
      <x:c r="L23" s="266"/>
      <x:c r="M23" s="266"/>
      <x:c r="N23" s="266"/>
      <x:c r="O23" s="266"/>
      <x:c r="P23" s="266"/>
      <x:c r="Q23" s="267" t="str">
        <x:f>IF(B23="","",IF(COUNTA(E23:P23)=0,"",COUNTIF(E23:P23,"1")))</x:f>
      </x:c>
      <x:c r="R23" s="267" t="str">
        <x:f>IF(B23="","",IF(COUNTA(E23:P23)=0,"",ROUND((COUNTIF(E23:P23,"1")+0.5*COUNTIF(E23:P23,"L"))/12*100,0)))</x:f>
      </x:c>
      <x:c r="S23" s="268" t="str">
        <x:f>IF(B23="","",R23)</x:f>
      </x:c>
      <x:c r="T23" s="268"/>
      <x:c r="U23" s="268"/>
      <x:c r="V23" s="268"/>
      <x:c r="W23" s="268"/>
      <x:c r="X23" s="268"/>
      <x:c r="Y23" s="268"/>
      <x:c r="Z23" s="268"/>
      <x:c r="AA23" s="268"/>
      <x:c r="AB23" s="268"/>
      <x:c r="AC23" s="267" t="str">
        <x:f>IF(S23="","",ROUND(S23*0.1,2))</x:f>
      </x:c>
      <x:c r="AD23" s="267" t="str">
        <x:f>IF(T23="","",ROUND(T23*0.1,2))</x:f>
      </x:c>
      <x:c r="AE23" s="267" t="str">
        <x:f>IF(U23="","",ROUND(U23*0.25,2))</x:f>
      </x:c>
      <x:c r="AF23" s="267" t="str">
        <x:f>IF(V23="","",ROUND(V23*0.1,2))</x:f>
      </x:c>
      <x:c r="AG23" s="267" t="str">
        <x:f>IF(W23="","",ROUND(W23*0.15,2))</x:f>
      </x:c>
      <x:c r="AH23" s="267" t="str">
        <x:f>IF(X23="","",ROUND(X23*0.1,2))</x:f>
      </x:c>
      <x:c r="AI23" s="267" t="str">
        <x:f>IF(Y23="","",ROUND(Y23*0.05,2))</x:f>
      </x:c>
      <x:c r="AJ23" s="267" t="str">
        <x:f>IF(Z23="","",ROUND(Z23*0.05,2))</x:f>
      </x:c>
      <x:c r="AK23" s="267" t="str">
        <x:f>IF(AA23="","",ROUND(AA23*0.05,2))</x:f>
      </x:c>
      <x:c r="AL23" s="267" t="str">
        <x:f>IF(AB23="","",ROUND(AB23*0.05,2))</x:f>
      </x:c>
      <x:c r="AM23" s="269" t="str">
        <x:f>IF(B23="","",IF(COUNT(S23:AB23)&lt;10,"",ROUND(SUM(AC23:AL23),2)))</x:f>
      </x:c>
      <x:c r="AN23" s="267" t="str">
        <x:f>IF(AM23="","",IF(AM23&gt;=90,"ល្អប្រសើរ",IF(AM23&gt;=80,"ល្អ",IF(AM23&gt;=70,"មធ្យមល្អ",IF(AM23&gt;=60,"មធ្យម","ត្រូវកែលម្អ")))))</x:f>
      </x:c>
      <x:c r="AO23" s="267" t="str">
        <x:f>IF(AM23="","",RANK.EQ(AM23,$AM$8:$AM$27,0))</x:f>
      </x:c>
      <x:c r="AP23" s="270"/>
    </x:row>
    <x:row r="24" ht="22" customHeight="1">
      <x:c r="A24" s="263" t="n">
        <x:v>17</x:v>
      </x:c>
      <x:c r="B24" s="264"/>
      <x:c r="C24" s="265"/>
      <x:c r="D24" s="264"/>
      <x:c r="E24" s="266"/>
      <x:c r="F24" s="266"/>
      <x:c r="G24" s="266"/>
      <x:c r="H24" s="266"/>
      <x:c r="I24" s="266"/>
      <x:c r="J24" s="266"/>
      <x:c r="K24" s="266"/>
      <x:c r="L24" s="266"/>
      <x:c r="M24" s="266"/>
      <x:c r="N24" s="266"/>
      <x:c r="O24" s="266"/>
      <x:c r="P24" s="266"/>
      <x:c r="Q24" s="267" t="str">
        <x:f>IF(B24="","",IF(COUNTA(E24:P24)=0,"",COUNTIF(E24:P24,"1")))</x:f>
      </x:c>
      <x:c r="R24" s="267" t="str">
        <x:f>IF(B24="","",IF(COUNTA(E24:P24)=0,"",ROUND((COUNTIF(E24:P24,"1")+0.5*COUNTIF(E24:P24,"L"))/12*100,0)))</x:f>
      </x:c>
      <x:c r="S24" s="268" t="str">
        <x:f>IF(B24="","",R24)</x:f>
      </x:c>
      <x:c r="T24" s="268"/>
      <x:c r="U24" s="268"/>
      <x:c r="V24" s="268"/>
      <x:c r="W24" s="268"/>
      <x:c r="X24" s="268"/>
      <x:c r="Y24" s="268"/>
      <x:c r="Z24" s="268"/>
      <x:c r="AA24" s="268"/>
      <x:c r="AB24" s="268"/>
      <x:c r="AC24" s="267" t="str">
        <x:f>IF(S24="","",ROUND(S24*0.1,2))</x:f>
      </x:c>
      <x:c r="AD24" s="267" t="str">
        <x:f>IF(T24="","",ROUND(T24*0.1,2))</x:f>
      </x:c>
      <x:c r="AE24" s="267" t="str">
        <x:f>IF(U24="","",ROUND(U24*0.25,2))</x:f>
      </x:c>
      <x:c r="AF24" s="267" t="str">
        <x:f>IF(V24="","",ROUND(V24*0.1,2))</x:f>
      </x:c>
      <x:c r="AG24" s="267" t="str">
        <x:f>IF(W24="","",ROUND(W24*0.15,2))</x:f>
      </x:c>
      <x:c r="AH24" s="267" t="str">
        <x:f>IF(X24="","",ROUND(X24*0.1,2))</x:f>
      </x:c>
      <x:c r="AI24" s="267" t="str">
        <x:f>IF(Y24="","",ROUND(Y24*0.05,2))</x:f>
      </x:c>
      <x:c r="AJ24" s="267" t="str">
        <x:f>IF(Z24="","",ROUND(Z24*0.05,2))</x:f>
      </x:c>
      <x:c r="AK24" s="267" t="str">
        <x:f>IF(AA24="","",ROUND(AA24*0.05,2))</x:f>
      </x:c>
      <x:c r="AL24" s="267" t="str">
        <x:f>IF(AB24="","",ROUND(AB24*0.05,2))</x:f>
      </x:c>
      <x:c r="AM24" s="269" t="str">
        <x:f>IF(B24="","",IF(COUNT(S24:AB24)&lt;10,"",ROUND(SUM(AC24:AL24),2)))</x:f>
      </x:c>
      <x:c r="AN24" s="267" t="str">
        <x:f>IF(AM24="","",IF(AM24&gt;=90,"ល្អប្រសើរ",IF(AM24&gt;=80,"ល្អ",IF(AM24&gt;=70,"មធ្យមល្អ",IF(AM24&gt;=60,"មធ្យម","ត្រូវកែលម្អ")))))</x:f>
      </x:c>
      <x:c r="AO24" s="267" t="str">
        <x:f>IF(AM24="","",RANK.EQ(AM24,$AM$8:$AM$27,0))</x:f>
      </x:c>
      <x:c r="AP24" s="270"/>
    </x:row>
    <x:row r="25" ht="22" customHeight="1">
      <x:c r="A25" s="263" t="n">
        <x:v>18</x:v>
      </x:c>
      <x:c r="B25" s="264"/>
      <x:c r="C25" s="265"/>
      <x:c r="D25" s="264"/>
      <x:c r="E25" s="266"/>
      <x:c r="F25" s="266"/>
      <x:c r="G25" s="266"/>
      <x:c r="H25" s="266"/>
      <x:c r="I25" s="266"/>
      <x:c r="J25" s="266"/>
      <x:c r="K25" s="266"/>
      <x:c r="L25" s="266"/>
      <x:c r="M25" s="266"/>
      <x:c r="N25" s="266"/>
      <x:c r="O25" s="266"/>
      <x:c r="P25" s="266"/>
      <x:c r="Q25" s="267" t="str">
        <x:f>IF(B25="","",IF(COUNTA(E25:P25)=0,"",COUNTIF(E25:P25,"1")))</x:f>
      </x:c>
      <x:c r="R25" s="267" t="str">
        <x:f>IF(B25="","",IF(COUNTA(E25:P25)=0,"",ROUND((COUNTIF(E25:P25,"1")+0.5*COUNTIF(E25:P25,"L"))/12*100,0)))</x:f>
      </x:c>
      <x:c r="S25" s="268" t="str">
        <x:f>IF(B25="","",R25)</x:f>
      </x:c>
      <x:c r="T25" s="268"/>
      <x:c r="U25" s="268"/>
      <x:c r="V25" s="268"/>
      <x:c r="W25" s="268"/>
      <x:c r="X25" s="268"/>
      <x:c r="Y25" s="268"/>
      <x:c r="Z25" s="268"/>
      <x:c r="AA25" s="268"/>
      <x:c r="AB25" s="268"/>
      <x:c r="AC25" s="267" t="str">
        <x:f>IF(S25="","",ROUND(S25*0.1,2))</x:f>
      </x:c>
      <x:c r="AD25" s="267" t="str">
        <x:f>IF(T25="","",ROUND(T25*0.1,2))</x:f>
      </x:c>
      <x:c r="AE25" s="267" t="str">
        <x:f>IF(U25="","",ROUND(U25*0.25,2))</x:f>
      </x:c>
      <x:c r="AF25" s="267" t="str">
        <x:f>IF(V25="","",ROUND(V25*0.1,2))</x:f>
      </x:c>
      <x:c r="AG25" s="267" t="str">
        <x:f>IF(W25="","",ROUND(W25*0.15,2))</x:f>
      </x:c>
      <x:c r="AH25" s="267" t="str">
        <x:f>IF(X25="","",ROUND(X25*0.1,2))</x:f>
      </x:c>
      <x:c r="AI25" s="267" t="str">
        <x:f>IF(Y25="","",ROUND(Y25*0.05,2))</x:f>
      </x:c>
      <x:c r="AJ25" s="267" t="str">
        <x:f>IF(Z25="","",ROUND(Z25*0.05,2))</x:f>
      </x:c>
      <x:c r="AK25" s="267" t="str">
        <x:f>IF(AA25="","",ROUND(AA25*0.05,2))</x:f>
      </x:c>
      <x:c r="AL25" s="267" t="str">
        <x:f>IF(AB25="","",ROUND(AB25*0.05,2))</x:f>
      </x:c>
      <x:c r="AM25" s="269" t="str">
        <x:f>IF(B25="","",IF(COUNT(S25:AB25)&lt;10,"",ROUND(SUM(AC25:AL25),2)))</x:f>
      </x:c>
      <x:c r="AN25" s="267" t="str">
        <x:f>IF(AM25="","",IF(AM25&gt;=90,"ល្អប្រសើរ",IF(AM25&gt;=80,"ល្អ",IF(AM25&gt;=70,"មធ្យមល្អ",IF(AM25&gt;=60,"មធ្យម","ត្រូវកែលម្អ")))))</x:f>
      </x:c>
      <x:c r="AO25" s="267" t="str">
        <x:f>IF(AM25="","",RANK.EQ(AM25,$AM$8:$AM$27,0))</x:f>
      </x:c>
      <x:c r="AP25" s="270"/>
    </x:row>
    <x:row r="26" ht="22" customHeight="1">
      <x:c r="A26" s="263" t="n">
        <x:v>19</x:v>
      </x:c>
      <x:c r="B26" s="264"/>
      <x:c r="C26" s="265"/>
      <x:c r="D26" s="264"/>
      <x:c r="E26" s="266"/>
      <x:c r="F26" s="266"/>
      <x:c r="G26" s="266"/>
      <x:c r="H26" s="266"/>
      <x:c r="I26" s="266"/>
      <x:c r="J26" s="266"/>
      <x:c r="K26" s="266"/>
      <x:c r="L26" s="266"/>
      <x:c r="M26" s="266"/>
      <x:c r="N26" s="266"/>
      <x:c r="O26" s="266"/>
      <x:c r="P26" s="266"/>
      <x:c r="Q26" s="267" t="str">
        <x:f>IF(B26="","",IF(COUNTA(E26:P26)=0,"",COUNTIF(E26:P26,"1")))</x:f>
      </x:c>
      <x:c r="R26" s="267" t="str">
        <x:f>IF(B26="","",IF(COUNTA(E26:P26)=0,"",ROUND((COUNTIF(E26:P26,"1")+0.5*COUNTIF(E26:P26,"L"))/12*100,0)))</x:f>
      </x:c>
      <x:c r="S26" s="268" t="str">
        <x:f>IF(B26="","",R26)</x:f>
      </x:c>
      <x:c r="T26" s="268"/>
      <x:c r="U26" s="268"/>
      <x:c r="V26" s="268"/>
      <x:c r="W26" s="268"/>
      <x:c r="X26" s="268"/>
      <x:c r="Y26" s="268"/>
      <x:c r="Z26" s="268"/>
      <x:c r="AA26" s="268"/>
      <x:c r="AB26" s="268"/>
      <x:c r="AC26" s="267" t="str">
        <x:f>IF(S26="","",ROUND(S26*0.1,2))</x:f>
      </x:c>
      <x:c r="AD26" s="267" t="str">
        <x:f>IF(T26="","",ROUND(T26*0.1,2))</x:f>
      </x:c>
      <x:c r="AE26" s="267" t="str">
        <x:f>IF(U26="","",ROUND(U26*0.25,2))</x:f>
      </x:c>
      <x:c r="AF26" s="267" t="str">
        <x:f>IF(V26="","",ROUND(V26*0.1,2))</x:f>
      </x:c>
      <x:c r="AG26" s="267" t="str">
        <x:f>IF(W26="","",ROUND(W26*0.15,2))</x:f>
      </x:c>
      <x:c r="AH26" s="267" t="str">
        <x:f>IF(X26="","",ROUND(X26*0.1,2))</x:f>
      </x:c>
      <x:c r="AI26" s="267" t="str">
        <x:f>IF(Y26="","",ROUND(Y26*0.05,2))</x:f>
      </x:c>
      <x:c r="AJ26" s="267" t="str">
        <x:f>IF(Z26="","",ROUND(Z26*0.05,2))</x:f>
      </x:c>
      <x:c r="AK26" s="267" t="str">
        <x:f>IF(AA26="","",ROUND(AA26*0.05,2))</x:f>
      </x:c>
      <x:c r="AL26" s="267" t="str">
        <x:f>IF(AB26="","",ROUND(AB26*0.05,2))</x:f>
      </x:c>
      <x:c r="AM26" s="269" t="str">
        <x:f>IF(B26="","",IF(COUNT(S26:AB26)&lt;10,"",ROUND(SUM(AC26:AL26),2)))</x:f>
      </x:c>
      <x:c r="AN26" s="267" t="str">
        <x:f>IF(AM26="","",IF(AM26&gt;=90,"ល្អប្រសើរ",IF(AM26&gt;=80,"ល្អ",IF(AM26&gt;=70,"មធ្យមល្អ",IF(AM26&gt;=60,"មធ្យម","ត្រូវកែលម្អ")))))</x:f>
      </x:c>
      <x:c r="AO26" s="267" t="str">
        <x:f>IF(AM26="","",RANK.EQ(AM26,$AM$8:$AM$27,0))</x:f>
      </x:c>
      <x:c r="AP26" s="270"/>
    </x:row>
    <x:row r="27" ht="22" customHeight="1">
      <x:c r="A27" s="271" t="n">
        <x:v>20</x:v>
      </x:c>
      <x:c r="B27" s="272"/>
      <x:c r="C27" s="273"/>
      <x:c r="D27" s="272"/>
      <x:c r="E27" s="274"/>
      <x:c r="F27" s="274"/>
      <x:c r="G27" s="274"/>
      <x:c r="H27" s="274"/>
      <x:c r="I27" s="274"/>
      <x:c r="J27" s="274"/>
      <x:c r="K27" s="274"/>
      <x:c r="L27" s="274"/>
      <x:c r="M27" s="274"/>
      <x:c r="N27" s="274"/>
      <x:c r="O27" s="274"/>
      <x:c r="P27" s="274"/>
      <x:c r="Q27" s="275" t="str">
        <x:f>IF(B27="","",IF(COUNTA(E27:P27)=0,"",COUNTIF(E27:P27,"1")))</x:f>
      </x:c>
      <x:c r="R27" s="275" t="str">
        <x:f>IF(B27="","",IF(COUNTA(E27:P27)=0,"",ROUND((COUNTIF(E27:P27,"1")+0.5*COUNTIF(E27:P27,"L"))/12*100,0)))</x:f>
      </x:c>
      <x:c r="S27" s="276" t="str">
        <x:f>IF(B27="","",R27)</x:f>
      </x:c>
      <x:c r="T27" s="276"/>
      <x:c r="U27" s="276"/>
      <x:c r="V27" s="276"/>
      <x:c r="W27" s="276"/>
      <x:c r="X27" s="276"/>
      <x:c r="Y27" s="276"/>
      <x:c r="Z27" s="276"/>
      <x:c r="AA27" s="276"/>
      <x:c r="AB27" s="276"/>
      <x:c r="AC27" s="275" t="str">
        <x:f>IF(S27="","",ROUND(S27*0.1,2))</x:f>
      </x:c>
      <x:c r="AD27" s="275" t="str">
        <x:f>IF(T27="","",ROUND(T27*0.1,2))</x:f>
      </x:c>
      <x:c r="AE27" s="275" t="str">
        <x:f>IF(U27="","",ROUND(U27*0.25,2))</x:f>
      </x:c>
      <x:c r="AF27" s="275" t="str">
        <x:f>IF(V27="","",ROUND(V27*0.1,2))</x:f>
      </x:c>
      <x:c r="AG27" s="275" t="str">
        <x:f>IF(W27="","",ROUND(W27*0.15,2))</x:f>
      </x:c>
      <x:c r="AH27" s="275" t="str">
        <x:f>IF(X27="","",ROUND(X27*0.1,2))</x:f>
      </x:c>
      <x:c r="AI27" s="275" t="str">
        <x:f>IF(Y27="","",ROUND(Y27*0.05,2))</x:f>
      </x:c>
      <x:c r="AJ27" s="275" t="str">
        <x:f>IF(Z27="","",ROUND(Z27*0.05,2))</x:f>
      </x:c>
      <x:c r="AK27" s="275" t="str">
        <x:f>IF(AA27="","",ROUND(AA27*0.05,2))</x:f>
      </x:c>
      <x:c r="AL27" s="275" t="str">
        <x:f>IF(AB27="","",ROUND(AB27*0.05,2))</x:f>
      </x:c>
      <x:c r="AM27" s="277" t="str">
        <x:f>IF(B27="","",IF(COUNT(S27:AB27)&lt;10,"",ROUND(SUM(AC27:AL27),2)))</x:f>
      </x:c>
      <x:c r="AN27" s="275" t="str">
        <x:f>IF(AM27="","",IF(AM27&gt;=90,"ល្អប្រសើរ",IF(AM27&gt;=80,"ល្អ",IF(AM27&gt;=70,"មធ្យមល្អ",IF(AM27&gt;=60,"មធ្យម","ត្រូវកែលម្អ")))))</x:f>
      </x:c>
      <x:c r="AO27" s="275" t="str">
        <x:f>IF(AM27="","",RANK.EQ(AM27,$AM$8:$AM$27,0))</x:f>
      </x:c>
      <x:c r="AP27" s="278"/>
    </x:row>
  </x:sheetData>
  <x:mergeCells>
    <x:mergeCell ref="A1:AP1"/>
    <x:mergeCell ref="A2:AP2"/>
    <x:mergeCell ref="A3:AP3"/>
    <x:mergeCell ref="E5:P5"/>
    <x:mergeCell ref="Q5:R5"/>
    <x:mergeCell ref="S5:AB5"/>
    <x:mergeCell ref="AC5:AL5"/>
    <x:mergeCell ref="AM5:AP5"/>
  </x:mergeCells>
  <x:dataValidations count="2">
    <x:dataValidation type="list" sqref="E8:P27">
      <x:formula1>"1,L,P,A"</x:formula1>
    </x:dataValidation>
    <x:dataValidation operator="between" sqref="T8:AB27">
      <x:formula1>0</x:formula1>
      <x:formula2>100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0" hidden="0" customWidth="1"/>
    <x:col min="3" max="3" width="30" hidden="0" customWidth="1"/>
    <x:col min="4" max="4" width="22" hidden="0" customWidth="1"/>
    <x:col min="5" max="5" width="18" hidden="0" customWidth="1"/>
    <x:col min="6" max="6" width="18" hidden="0" customWidth="1"/>
    <x:col min="7" max="7" width="13" hidden="0" customWidth="1"/>
    <x:col min="8" max="8" width="13" hidden="0" customWidth="1"/>
    <x:col min="9" max="9" width="13" hidden="0" customWidth="1"/>
    <x:col min="10" max="10" width="10" hidden="0" customWidth="1"/>
    <x:col min="11" max="11" width="12" hidden="0" customWidth="1"/>
    <x:col min="12" max="12" width="10" hidden="0" customWidth="1"/>
    <x:col min="13" max="13" width="34" hidden="0" customWidth="1"/>
    <x:col min="14" max="14" width="18" hidden="0" customWidth="1"/>
    <x:col min="15" max="15" width="10" hidden="0" customWidth="1"/>
    <x:col min="16" max="16" width="10" hidden="0" customWidth="1"/>
    <x:col min="17" max="17" width="32" hidden="0" customWidth="1"/>
  </x:cols>
  <x:sheetData>
    <x:row r="1" ht="28" customHeight="1">
      <x:c r="A1" s="5" t="str">
        <x:v>បែបបទតាមដានការងារ និង Assignment របស់ក្រុម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>
      <x:c r="A2" s="13" t="str">
        <x:v>តារាងតាមដានការងារ / ភារកិច្ច — ប្រព័ន្ធគ្រប់គ្រងលិខិតអញ្ចើញឌីជីថល (E-Invitation) | ថ្ងៃផុតកំណត់ចុងក្រោយ៖ 01-Dec-2026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</x:row>
    <x:row r="3">
      <x:c r="A3" s="22" t="str">
        <x:v>ចំណាំ៖ Deadline របស់ការងារទាំងអស់ត្រូវមិនលើសពីថ្ងៃទី ០១ ខែធ្នូ ឆ្នាំ ២០២៦។ Historical rows ប្រើ Completion Date ពី GitHub; Planned rows ប្រើ Target Deadline។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</x:row>
    <x:row r="5" ht="34" customHeight="1">
      <x:c r="A5" s="324" t="str">
        <x:v>ល.រ</x:v>
      </x:c>
      <x:c r="B5" s="325" t="str">
        <x:v>Task ID</x:v>
      </x:c>
      <x:c r="C5" s="325" t="str">
        <x:v>ការងារ / Assignment</x:v>
      </x:c>
      <x:c r="D5" s="325" t="str">
        <x:v>Module / Process</x:v>
      </x:c>
      <x:c r="E5" s="325" t="str">
        <x:v>អ្នកទទួលខុសត្រូវ</x:v>
      </x:c>
      <x:c r="F5" s="325" t="str">
        <x:v>Owner (English)</x:v>
      </x:c>
      <x:c r="G5" s="325" t="str">
        <x:v>ថ្ងៃចាត់តាំង</x:v>
      </x:c>
      <x:c r="H5" s="325" t="str">
        <x:v>Deadline</x:v>
      </x:c>
      <x:c r="I5" s="325" t="str">
        <x:v>ថ្ងៃបញ្ចប់</x:v>
      </x:c>
      <x:c r="J5" s="325" t="str">
        <x:v>អាទិភាព</x:v>
      </x:c>
      <x:c r="K5" s="325" t="str">
        <x:v>ស្ថានភាព</x:v>
      </x:c>
      <x:c r="L5" s="325" t="str">
        <x:v>Progress %</x:v>
      </x:c>
      <x:c r="M5" s="325" t="str">
        <x:v>Evidence / Link</x:v>
      </x:c>
      <x:c r="N5" s="325" t="str">
        <x:v>Reviewer / QA</x:v>
      </x:c>
      <x:c r="O5" s="325" t="str">
        <x:v>Quality /100</x:v>
      </x:c>
      <x:c r="P5" s="325" t="str">
        <x:v>Days Late</x:v>
      </x:c>
      <x:c r="Q5" s="326" t="str">
        <x:v>កំណត់សម្គាល់</x:v>
      </x:c>
    </x:row>
    <x:row r="6" ht="32" customHeight="1">
      <x:c r="A6" s="327" t="n">
        <x:v>1</x:v>
      </x:c>
      <x:c r="B6" s="328" t="str">
        <x:v>H-001</x:v>
      </x:c>
      <x:c r="C6" s="328" t="str">
        <x:v>Media management + template payment flow</x:v>
      </x:c>
      <x:c r="D6" s="328" t="str">
        <x:v>Media / Payment</x:v>
      </x:c>
      <x:c r="E6" s="328" t="str">
        <x:v>កឿង វីរៈ</x:v>
      </x:c>
      <x:c r="F6" s="329" t="str">
        <x:v>Koeurng Vireak</x:v>
      </x:c>
      <x:c r="G6" s="330"/>
      <x:c r="H6" s="330"/>
      <x:c r="I6" s="330" t="n">
        <x:v>46168</x:v>
      </x:c>
      <x:c r="J6" s="328" t="str">
        <x:v>—</x:v>
      </x:c>
      <x:c r="K6" s="328" t="str">
        <x:v>បានបញ្ចប់</x:v>
      </x:c>
      <x:c r="L6" s="331" t="n">
        <x:v>100</x:v>
      </x:c>
      <x:c r="M6" s="329" t="str">
        <x:v>https://github.com/Ny-Panha/Koupreng-invitation_project/pull/2</x:v>
      </x:c>
      <x:c r="N6" s="328" t="str"/>
      <x:c r="O6" s="328" t="str"/>
      <x:c r="P6" s="328" t="str">
        <x:f>IF(H6="","",IF(I6&lt;&gt;"",MAX(0,I6-H6),IF(TODAY()&gt;H6,TODAY()-H6,0)))</x:f>
      </x:c>
      <x:c r="Q6" s="332" t="str">
        <x:v>GitHub PR #2; media/storage/payment/Telegram implementation</x:v>
      </x:c>
    </x:row>
    <x:row r="7" ht="32" customHeight="1">
      <x:c r="A7" s="327" t="n">
        <x:v>2</x:v>
      </x:c>
      <x:c r="B7" s="328" t="str">
        <x:v>H-002</x:v>
      </x:c>
      <x:c r="C7" s="328" t="str">
        <x:v>Dynamic + Static ABA payment conflict resolution</x:v>
      </x:c>
      <x:c r="D7" s="328" t="str">
        <x:v>Payment / Telegram</x:v>
      </x:c>
      <x:c r="E7" s="328" t="str">
        <x:v>កឿង វីរៈ</x:v>
      </x:c>
      <x:c r="F7" s="329" t="str">
        <x:v>Koeurng Vireak</x:v>
      </x:c>
      <x:c r="G7" s="330"/>
      <x:c r="H7" s="330"/>
      <x:c r="I7" s="330" t="n">
        <x:v>46176</x:v>
      </x:c>
      <x:c r="J7" s="328" t="str">
        <x:v>—</x:v>
      </x:c>
      <x:c r="K7" s="328" t="str">
        <x:v>បានបញ្ចប់</x:v>
      </x:c>
      <x:c r="L7" s="331" t="n">
        <x:v>100</x:v>
      </x:c>
      <x:c r="M7" s="329" t="str">
        <x:v>https://github.com/Ny-Panha/Koupreng-invitation_project/pull/3</x:v>
      </x:c>
      <x:c r="N7" s="328" t="str"/>
      <x:c r="O7" s="328" t="str"/>
      <x:c r="P7" s="328" t="str">
        <x:f>IF(H7="","",IF(I7&lt;&gt;"",MAX(0,I7-H7),IF(TODAY()&gt;H7,TODAY()-H7,0)))</x:f>
      </x:c>
      <x:c r="Q7" s="332" t="str">
        <x:v>GitHub PR #3; backend tests 84</x:v>
      </x:c>
    </x:row>
    <x:row r="8" ht="32" customHeight="1">
      <x:c r="A8" s="327" t="n">
        <x:v>3</x:v>
      </x:c>
      <x:c r="B8" s="328" t="str">
        <x:v>H-003</x:v>
      </x:c>
      <x:c r="C8" s="328" t="str">
        <x:v>Account, payment, budget stabilization &amp; Flyway safety</x:v>
      </x:c>
      <x:c r="D8" s="328" t="str">
        <x:v>Backend / Database / Payment</x:v>
      </x:c>
      <x:c r="E8" s="328" t="str">
        <x:v>កឿង វីរៈ</x:v>
      </x:c>
      <x:c r="F8" s="329" t="str">
        <x:v>Koeurng Vireak</x:v>
      </x:c>
      <x:c r="G8" s="330"/>
      <x:c r="H8" s="330"/>
      <x:c r="I8" s="330" t="n">
        <x:v>46182</x:v>
      </x:c>
      <x:c r="J8" s="328" t="str">
        <x:v>—</x:v>
      </x:c>
      <x:c r="K8" s="328" t="str">
        <x:v>បានបញ្ចប់</x:v>
      </x:c>
      <x:c r="L8" s="331" t="n">
        <x:v>100</x:v>
      </x:c>
      <x:c r="M8" s="329" t="str">
        <x:v>https://github.com/Ny-Panha/Koupreng-invitation_project/pull/4</x:v>
      </x:c>
      <x:c r="N8" s="328" t="str"/>
      <x:c r="O8" s="328" t="str"/>
      <x:c r="P8" s="328" t="str">
        <x:f>IF(H8="","",IF(I8&lt;&gt;"",MAX(0,I8-H8),IF(TODAY()&gt;H8,TODAY()-H8,0)))</x:f>
      </x:c>
      <x:c r="Q8" s="332" t="str">
        <x:v>GitHub PR #4; backend tests 124</x:v>
      </x:c>
    </x:row>
    <x:row r="9" ht="32" customHeight="1">
      <x:c r="A9" s="327" t="n">
        <x:v>4</x:v>
      </x:c>
      <x:c r="B9" s="328" t="str">
        <x:v>H-004</x:v>
      </x:c>
      <x:c r="C9" s="328" t="str">
        <x:v>Post-merge QA/security tooling</x:v>
      </x:c>
      <x:c r="D9" s="328" t="str">
        <x:v>QA / Security</x:v>
      </x:c>
      <x:c r="E9" s="328" t="str">
        <x:v>កឿង វីរៈ</x:v>
      </x:c>
      <x:c r="F9" s="329" t="str">
        <x:v>Koeurng Vireak</x:v>
      </x:c>
      <x:c r="G9" s="330"/>
      <x:c r="H9" s="330"/>
      <x:c r="I9" s="330" t="n">
        <x:v>46182</x:v>
      </x:c>
      <x:c r="J9" s="328" t="str">
        <x:v>—</x:v>
      </x:c>
      <x:c r="K9" s="328" t="str">
        <x:v>បានបញ្ចប់</x:v>
      </x:c>
      <x:c r="L9" s="331" t="n">
        <x:v>100</x:v>
      </x:c>
      <x:c r="M9" s="329" t="str">
        <x:v>https://github.com/Ny-Panha/Koupreng-invitation_project/pull/7</x:v>
      </x:c>
      <x:c r="N9" s="328" t="str"/>
      <x:c r="O9" s="328" t="str"/>
      <x:c r="P9" s="328" t="str">
        <x:f>IF(H9="","",IF(I9&lt;&gt;"",MAX(0,I9-H9),IF(TODAY()&gt;H9,TODAY()-H9,0)))</x:f>
      </x:c>
      <x:c r="Q9" s="332" t="str">
        <x:v>Security / CSV / audit IP hardening</x:v>
      </x:c>
    </x:row>
    <x:row r="10" ht="32" customHeight="1">
      <x:c r="A10" s="327" t="n">
        <x:v>5</x:v>
      </x:c>
      <x:c r="B10" s="328" t="str">
        <x:v>H-005</x:v>
      </x:c>
      <x:c r="C10" s="328" t="str">
        <x:v>Garden Royal Khmer template audit cleanup</x:v>
      </x:c>
      <x:c r="D10" s="328" t="str">
        <x:v>Template / QA</x:v>
      </x:c>
      <x:c r="E10" s="328" t="str">
        <x:v>កឿង វីរៈ</x:v>
      </x:c>
      <x:c r="F10" s="329" t="str">
        <x:v>Koeurng Vireak</x:v>
      </x:c>
      <x:c r="G10" s="330"/>
      <x:c r="H10" s="330"/>
      <x:c r="I10" s="330" t="n">
        <x:v>46183</x:v>
      </x:c>
      <x:c r="J10" s="328" t="str">
        <x:v>—</x:v>
      </x:c>
      <x:c r="K10" s="328" t="str">
        <x:v>បានបញ្ចប់</x:v>
      </x:c>
      <x:c r="L10" s="331" t="n">
        <x:v>100</x:v>
      </x:c>
      <x:c r="M10" s="329" t="str">
        <x:v>https://github.com/Ny-Panha/Koupreng-invitation_project/pull/9</x:v>
      </x:c>
      <x:c r="N10" s="328" t="str"/>
      <x:c r="O10" s="328" t="str"/>
      <x:c r="P10" s="328" t="str">
        <x:f>IF(H10="","",IF(I10&lt;&gt;"",MAX(0,I10-H10),IF(TODAY()&gt;H10,TODAY()-H10,0)))</x:f>
      </x:c>
      <x:c r="Q10" s="332" t="str">
        <x:v>Backend 127 tests; public parity and QA checklist</x:v>
      </x:c>
    </x:row>
    <x:row r="11" ht="32" customHeight="1">
      <x:c r="A11" s="327" t="n">
        <x:v>6</x:v>
      </x:c>
      <x:c r="B11" s="328" t="str">
        <x:v>H-006</x:v>
      </x:c>
      <x:c r="C11" s="328" t="str">
        <x:v>Khmer wedding template renderer iteration</x:v>
      </x:c>
      <x:c r="D11" s="328" t="str">
        <x:v>Frontend / Template</x:v>
      </x:c>
      <x:c r="E11" s="328" t="str">
        <x:v>កឿង វីរៈ</x:v>
      </x:c>
      <x:c r="F11" s="329" t="str">
        <x:v>Koeurng Vireak</x:v>
      </x:c>
      <x:c r="G11" s="330"/>
      <x:c r="H11" s="330"/>
      <x:c r="I11" s="330" t="n">
        <x:v>46211</x:v>
      </x:c>
      <x:c r="J11" s="328" t="str">
        <x:v>—</x:v>
      </x:c>
      <x:c r="K11" s="328" t="str">
        <x:v>បានបញ្ចប់</x:v>
      </x:c>
      <x:c r="L11" s="331" t="n">
        <x:v>100</x:v>
      </x:c>
      <x:c r="M11" s="329" t="str">
        <x:v>https://github.com/Ny-Panha/Koupreng-invitation_project/commit/2ba8578ff0b045f237e8277d326c4d969e2e647f</x:v>
      </x:c>
      <x:c r="N11" s="328" t="str"/>
      <x:c r="O11" s="328" t="str"/>
      <x:c r="P11" s="328" t="str">
        <x:f>IF(H11="","",IF(I11&lt;&gt;"",MAX(0,I11-H11),IF(TODAY()&gt;H11,TODAY()-H11,0)))</x:f>
      </x:c>
      <x:c r="Q11" s="332" t="str">
        <x:v>Dynamic/Premium/Garden Royal template work</x:v>
      </x:c>
    </x:row>
    <x:row r="12" ht="32" customHeight="1">
      <x:c r="A12" s="327" t="n">
        <x:v>7</x:v>
      </x:c>
      <x:c r="B12" s="328" t="str">
        <x:v>H-007</x:v>
      </x:c>
      <x:c r="C12" s="328" t="str">
        <x:v>Repository cleanup and repository-wide quality gates</x:v>
      </x:c>
      <x:c r="D12" s="328" t="str">
        <x:v>QA / CI / Security</x:v>
      </x:c>
      <x:c r="E12" s="328" t="str">
        <x:v>កឿង វីរៈ</x:v>
      </x:c>
      <x:c r="F12" s="329" t="str">
        <x:v>Koeurng Vireak</x:v>
      </x:c>
      <x:c r="G12" s="330"/>
      <x:c r="H12" s="330"/>
      <x:c r="I12" s="330" t="n">
        <x:v>46224</x:v>
      </x:c>
      <x:c r="J12" s="328" t="str">
        <x:v>—</x:v>
      </x:c>
      <x:c r="K12" s="328" t="str">
        <x:v>បានបញ្ចប់</x:v>
      </x:c>
      <x:c r="L12" s="331" t="n">
        <x:v>100</x:v>
      </x:c>
      <x:c r="M12" s="329" t="str">
        <x:v>https://github.com/Ny-Panha/Koupreng-invitation_project/commit/8ac78ee8d3fc3a74102441a0b0b69ee1d3d438ff</x:v>
      </x:c>
      <x:c r="N12" s="328" t="str"/>
      <x:c r="O12" s="328" t="str"/>
      <x:c r="P12" s="328" t="str">
        <x:f>IF(H12="","",IF(I12&lt;&gt;"",MAX(0,I12-H12),IF(TODAY()&gt;H12,TODAY()-H12,0)))</x:f>
      </x:c>
      <x:c r="Q12" s="332" t="str">
        <x:v>Cleanup, CI, security, Playwright route-smoke evidence</x:v>
      </x:c>
    </x:row>
    <x:row r="13" ht="32" customHeight="1">
      <x:c r="A13" s="327" t="n">
        <x:v>8</x:v>
      </x:c>
      <x:c r="B13" s="328" t="str">
        <x:v>H-008</x:v>
      </x:c>
      <x:c r="C13" s="328" t="str">
        <x:v>User/Admin feature modernization</x:v>
      </x:c>
      <x:c r="D13" s="328" t="str">
        <x:v>Frontend / Admin</x:v>
      </x:c>
      <x:c r="E13" s="328" t="str">
        <x:v>កឿង វីរៈ</x:v>
      </x:c>
      <x:c r="F13" s="329" t="str">
        <x:v>Koeurng Vireak</x:v>
      </x:c>
      <x:c r="G13" s="330"/>
      <x:c r="H13" s="330"/>
      <x:c r="I13" s="330" t="n">
        <x:v>46241</x:v>
      </x:c>
      <x:c r="J13" s="328" t="str">
        <x:v>—</x:v>
      </x:c>
      <x:c r="K13" s="328" t="str">
        <x:v>បានបញ្ចប់</x:v>
      </x:c>
      <x:c r="L13" s="331" t="n">
        <x:v>100</x:v>
      </x:c>
      <x:c r="M13" s="329" t="str">
        <x:v>https://github.com/Ny-Panha/Koupreng-invitation_project/commit/a56d0b49e74724c34faa90981d8eb4991cd0cf4a</x:v>
      </x:c>
      <x:c r="N13" s="328" t="str"/>
      <x:c r="O13" s="328" t="str"/>
      <x:c r="P13" s="328" t="str">
        <x:f>IF(H13="","",IF(I13&lt;&gt;"",MAX(0,I13-H13),IF(TODAY()&gt;H13,TODAY()-H13,0)))</x:f>
      </x:c>
      <x:c r="Q13" s="332" t="str">
        <x:v>Dashboard, builder, guest, budget, gifts, seating, admin</x:v>
      </x:c>
    </x:row>
    <x:row r="14" ht="32" customHeight="1">
      <x:c r="A14" s="327" t="n">
        <x:v>9</x:v>
      </x:c>
      <x:c r="B14" s="328" t="str">
        <x:v>H-009</x:v>
      </x:c>
      <x:c r="C14" s="328" t="str">
        <x:v>AI invitation writing assistant + helper triggers</x:v>
      </x:c>
      <x:c r="D14" s="328" t="str">
        <x:v>AI / Frontend</x:v>
      </x:c>
      <x:c r="E14" s="328" t="str">
        <x:v>កឿង វីរៈ</x:v>
      </x:c>
      <x:c r="F14" s="329" t="str">
        <x:v>Koeurng Vireak</x:v>
      </x:c>
      <x:c r="G14" s="330"/>
      <x:c r="H14" s="330"/>
      <x:c r="I14" s="330" t="n">
        <x:v>46241</x:v>
      </x:c>
      <x:c r="J14" s="328" t="str">
        <x:v>—</x:v>
      </x:c>
      <x:c r="K14" s="328" t="str">
        <x:v>បានបញ្ចប់</x:v>
      </x:c>
      <x:c r="L14" s="331" t="n">
        <x:v>100</x:v>
      </x:c>
      <x:c r="M14" s="329" t="str">
        <x:v>https://github.com/Ny-Panha/Koupreng-invitation_project/commit/c923eff5810d7d11f8312f6e409f0d39a88e041d</x:v>
      </x:c>
      <x:c r="N14" s="328" t="str"/>
      <x:c r="O14" s="328" t="str"/>
      <x:c r="P14" s="328" t="str">
        <x:f>IF(H14="","",IF(I14&lt;&gt;"",MAX(0,I14-H14),IF(TODAY()&gt;H14,TODAY()-H14,0)))</x:f>
      </x:c>
      <x:c r="Q14" s="332" t="str">
        <x:v>Invitation writing assistant</x:v>
      </x:c>
    </x:row>
    <x:row r="15" ht="32" customHeight="1">
      <x:c r="A15" s="327" t="n">
        <x:v>10</x:v>
      </x:c>
      <x:c r="B15" s="328" t="str">
        <x:v>H-010</x:v>
      </x:c>
      <x:c r="C15" s="328" t="str">
        <x:v>A–K full project flow QA verification</x:v>
      </x:c>
      <x:c r="D15" s="328" t="str">
        <x:v>QA / E2E</x:v>
      </x:c>
      <x:c r="E15" s="328" t="str">
        <x:v>កឿង វីរៈ</x:v>
      </x:c>
      <x:c r="F15" s="329" t="str">
        <x:v>Koeurng Vireak</x:v>
      </x:c>
      <x:c r="G15" s="330"/>
      <x:c r="H15" s="330"/>
      <x:c r="I15" s="330" t="n">
        <x:v>46241</x:v>
      </x:c>
      <x:c r="J15" s="328" t="str">
        <x:v>—</x:v>
      </x:c>
      <x:c r="K15" s="328" t="str">
        <x:v>បានបញ្ចប់</x:v>
      </x:c>
      <x:c r="L15" s="331" t="n">
        <x:v>100</x:v>
      </x:c>
      <x:c r="M15" s="329" t="str">
        <x:v>https://github.com/Ny-Panha/Koupreng-invitation_project/pull/10</x:v>
      </x:c>
      <x:c r="N15" s="328" t="str"/>
      <x:c r="O15" s="328" t="str"/>
      <x:c r="P15" s="328" t="str">
        <x:f>IF(H15="","",IF(I15&lt;&gt;"",MAX(0,I15-H15),IF(TODAY()&gt;H15,TODAY()-H15,0)))</x:f>
      </x:c>
      <x:c r="Q15" s="332" t="str">
        <x:v>127 backend tests; lint/build; 22/22 route smoke</x:v>
      </x:c>
    </x:row>
    <x:row r="16" ht="32" customHeight="1">
      <x:c r="A16" s="327" t="n">
        <x:v>11</x:v>
      </x:c>
      <x:c r="B16" s="328" t="str">
        <x:v>H-011</x:v>
      </x:c>
      <x:c r="C16" s="328" t="str">
        <x:v>Dependency and business-flow hardening</x:v>
      </x:c>
      <x:c r="D16" s="328" t="str">
        <x:v>Security / CI</x:v>
      </x:c>
      <x:c r="E16" s="328" t="str">
        <x:v>កឿង វីរៈ</x:v>
      </x:c>
      <x:c r="F16" s="329" t="str">
        <x:v>Koeurng Vireak</x:v>
      </x:c>
      <x:c r="G16" s="330"/>
      <x:c r="H16" s="330"/>
      <x:c r="I16" s="330" t="n">
        <x:v>46244</x:v>
      </x:c>
      <x:c r="J16" s="328" t="str">
        <x:v>—</x:v>
      </x:c>
      <x:c r="K16" s="328" t="str">
        <x:v>បានបញ្ចប់</x:v>
      </x:c>
      <x:c r="L16" s="331" t="n">
        <x:v>100</x:v>
      </x:c>
      <x:c r="M16" s="329" t="str">
        <x:v>https://github.com/Ny-Panha/Koupreng-invitation_project/commit/57892c718869b4fc4bd80c47eb2b14c87c894547</x:v>
      </x:c>
      <x:c r="N16" s="328" t="str"/>
      <x:c r="O16" s="328" t="str"/>
      <x:c r="P16" s="328" t="str">
        <x:f>IF(H16="","",IF(I16&lt;&gt;"",MAX(0,I16-H16),IF(TODAY()&gt;H16,TODAY()-H16,0)))</x:f>
      </x:c>
      <x:c r="Q16" s="332" t="str">
        <x:v>Backend dependency patch + CI sync</x:v>
      </x:c>
    </x:row>
    <x:row r="17" ht="32" customHeight="1">
      <x:c r="A17" s="327" t="n">
        <x:v>12</x:v>
      </x:c>
      <x:c r="B17" s="328" t="str">
        <x:v>H-012</x:v>
      </x:c>
      <x:c r="C17" s="328" t="str">
        <x:v>Legacy authentication storage fix</x:v>
      </x:c>
      <x:c r="D17" s="328" t="str">
        <x:v>Authentication</x:v>
      </x:c>
      <x:c r="E17" s="328" t="str">
        <x:v>ឡាំ គីមឡុង</x:v>
      </x:c>
      <x:c r="F17" s="329" t="str">
        <x:v>Lam Kimlong</x:v>
      </x:c>
      <x:c r="G17" s="330"/>
      <x:c r="H17" s="330"/>
      <x:c r="I17" s="330" t="n">
        <x:v>46260</x:v>
      </x:c>
      <x:c r="J17" s="328" t="str">
        <x:v>—</x:v>
      </x:c>
      <x:c r="K17" s="328" t="str">
        <x:v>បានបញ្ចប់</x:v>
      </x:c>
      <x:c r="L17" s="331" t="n">
        <x:v>100</x:v>
      </x:c>
      <x:c r="M17" s="329" t="str">
        <x:v>https://github.com/Ny-Panha/Koupreng-invitation_project/commit/481ab54194ef580f9b9be872c9b2da873315187c</x:v>
      </x:c>
      <x:c r="N17" s="328" t="str"/>
      <x:c r="O17" s="328" t="str"/>
      <x:c r="P17" s="328" t="str">
        <x:f>IF(H17="","",IF(I17&lt;&gt;"",MAX(0,I17-H17),IF(TODAY()&gt;H17,TODAY()-H17,0)))</x:f>
      </x:c>
      <x:c r="Q17" s="332" t="str">
        <x:v>Traceable commit by Kimlong1610</x:v>
      </x:c>
    </x:row>
    <x:row r="18" ht="32" customHeight="1">
      <x:c r="A18" s="327" t="n">
        <x:v>13</x:v>
      </x:c>
      <x:c r="B18" s="328" t="str">
        <x:v>H-013</x:v>
      </x:c>
      <x:c r="C18" s="328" t="str">
        <x:v>Dashboard/template catalog UI polish</x:v>
      </x:c>
      <x:c r="D18" s="328" t="str">
        <x:v>Frontend / UI</x:v>
      </x:c>
      <x:c r="E18" s="328" t="str">
        <x:v>នី បញ្ញា</x:v>
      </x:c>
      <x:c r="F18" s="329" t="str">
        <x:v>Ny Panha</x:v>
      </x:c>
      <x:c r="G18" s="330"/>
      <x:c r="H18" s="330"/>
      <x:c r="I18" s="330" t="n">
        <x:v>46265</x:v>
      </x:c>
      <x:c r="J18" s="328" t="str">
        <x:v>—</x:v>
      </x:c>
      <x:c r="K18" s="328" t="str">
        <x:v>បានបញ្ចប់</x:v>
      </x:c>
      <x:c r="L18" s="331" t="n">
        <x:v>100</x:v>
      </x:c>
      <x:c r="M18" s="329" t="str">
        <x:v>https://github.com/Ny-Panha/Koupreng-invitation_project/commit/d61d7b1a590093f5c673a7ee214be56132f60837</x:v>
      </x:c>
      <x:c r="N18" s="328" t="str"/>
      <x:c r="O18" s="328" t="str"/>
      <x:c r="P18" s="328" t="str">
        <x:f>IF(H18="","",IF(I18&lt;&gt;"",MAX(0,I18-H18),IF(TODAY()&gt;H18,TODAY()-H18,0)))</x:f>
      </x:c>
      <x:c r="Q18" s="332" t="str">
        <x:v>Traceable commit by Ny-Panha</x:v>
      </x:c>
    </x:row>
    <x:row r="19" ht="32" customHeight="1">
      <x:c r="A19" s="327" t="n">
        <x:v>14</x:v>
      </x:c>
      <x:c r="B19" s="328" t="str">
        <x:v>H-014</x:v>
      </x:c>
      <x:c r="C19" s="328" t="str">
        <x:v>Feature modularization + wedding builder/test suites</x:v>
      </x:c>
      <x:c r="D19" s="328" t="str">
        <x:v>Architecture / Frontend / Tests</x:v>
      </x:c>
      <x:c r="E19" s="328" t="str">
        <x:v>នី បញ្ញា</x:v>
      </x:c>
      <x:c r="F19" s="329" t="str">
        <x:v>Ny Panha</x:v>
      </x:c>
      <x:c r="G19" s="330"/>
      <x:c r="H19" s="330"/>
      <x:c r="I19" s="330" t="n">
        <x:v>46268</x:v>
      </x:c>
      <x:c r="J19" s="328" t="str">
        <x:v>—</x:v>
      </x:c>
      <x:c r="K19" s="328" t="str">
        <x:v>បានបញ្ចប់</x:v>
      </x:c>
      <x:c r="L19" s="331" t="n">
        <x:v>100</x:v>
      </x:c>
      <x:c r="M19" s="329" t="str">
        <x:v>https://github.com/Ny-Panha/Koupreng-invitation_project/commit/36332bd59b5a2558a0fca69ff61ee9acdd2d8770</x:v>
      </x:c>
      <x:c r="N19" s="328" t="str"/>
      <x:c r="O19" s="328" t="str"/>
      <x:c r="P19" s="328" t="str">
        <x:f>IF(H19="","",IF(I19&lt;&gt;"",MAX(0,I19-H19),IF(TODAY()&gt;H19,TODAY()-H19,0)))</x:f>
      </x:c>
      <x:c r="Q19" s="332" t="str">
        <x:v>Traceable commit by Ny-Panha</x:v>
      </x:c>
    </x:row>
    <x:row r="20" ht="32" customHeight="1">
      <x:c r="A20" s="327" t="n">
        <x:v>15</x:v>
      </x:c>
      <x:c r="B20" s="328" t="str">
        <x:v>H-015</x:v>
      </x:c>
      <x:c r="C20" s="328" t="str">
        <x:v>Canva-style seating floor plan</x:v>
      </x:c>
      <x:c r="D20" s="328" t="str">
        <x:v>Seating / UI</x:v>
      </x:c>
      <x:c r="E20" s="328" t="str">
        <x:v>នី បញ្ញា</x:v>
      </x:c>
      <x:c r="F20" s="329" t="str">
        <x:v>Ny Panha</x:v>
      </x:c>
      <x:c r="G20" s="330"/>
      <x:c r="H20" s="330"/>
      <x:c r="I20" s="330" t="n">
        <x:v>46271</x:v>
      </x:c>
      <x:c r="J20" s="328" t="str">
        <x:v>—</x:v>
      </x:c>
      <x:c r="K20" s="328" t="str">
        <x:v>បានបញ្ចប់</x:v>
      </x:c>
      <x:c r="L20" s="331" t="n">
        <x:v>100</x:v>
      </x:c>
      <x:c r="M20" s="329" t="str">
        <x:v>https://github.com/Ny-Panha/Koupreng-invitation_project/commit/d484ad24d2c1a9605f900e32670ba374492aecfb</x:v>
      </x:c>
      <x:c r="N20" s="328" t="str"/>
      <x:c r="O20" s="328" t="str"/>
      <x:c r="P20" s="328" t="str">
        <x:f>IF(H20="","",IF(I20&lt;&gt;"",MAX(0,I20-H20),IF(TODAY()&gt;H20,TODAY()-H20,0)))</x:f>
      </x:c>
      <x:c r="Q20" s="332" t="str">
        <x:v>Auto-arrange, anti-overlap, 100-table support</x:v>
      </x:c>
    </x:row>
    <x:row r="21" ht="32" customHeight="1">
      <x:c r="A21" s="327" t="n">
        <x:v>16</x:v>
      </x:c>
      <x:c r="B21" s="328" t="str">
        <x:v>H-016</x:v>
      </x:c>
      <x:c r="C21" s="328" t="str">
        <x:v>Secure OpenAPI + Scalar portal + dev fixtures</x:v>
      </x:c>
      <x:c r="D21" s="328" t="str">
        <x:v>Backend / API Docs</x:v>
      </x:c>
      <x:c r="E21" s="328" t="str">
        <x:v>ឡាំ គីមឡុង</x:v>
      </x:c>
      <x:c r="F21" s="329" t="str">
        <x:v>Lam Kimlong</x:v>
      </x:c>
      <x:c r="G21" s="330"/>
      <x:c r="H21" s="330"/>
      <x:c r="I21" s="330" t="n">
        <x:v>46272</x:v>
      </x:c>
      <x:c r="J21" s="328" t="str">
        <x:v>—</x:v>
      </x:c>
      <x:c r="K21" s="328" t="str">
        <x:v>បានបញ្ចប់</x:v>
      </x:c>
      <x:c r="L21" s="331" t="n">
        <x:v>100</x:v>
      </x:c>
      <x:c r="M21" s="329" t="str">
        <x:v>https://github.com/Ny-Panha/Koupreng-invitation_project/commit/4d6f27b68e68d4773a7c6faa0e98f4013115c651</x:v>
      </x:c>
      <x:c r="N21" s="328" t="str"/>
      <x:c r="O21" s="328" t="str"/>
      <x:c r="P21" s="328" t="str">
        <x:f>IF(H21="","",IF(I21&lt;&gt;"",MAX(0,I21-H21),IF(TODAY()&gt;H21,TODAY()-H21,0)))</x:f>
      </x:c>
      <x:c r="Q21" s="332" t="str">
        <x:v>OpenAPI/Scalar development documentation</x:v>
      </x:c>
    </x:row>
    <x:row r="22" ht="32" customHeight="1">
      <x:c r="A22" s="327" t="n">
        <x:v>17</x:v>
      </x:c>
      <x:c r="B22" s="328" t="str">
        <x:v>H-017</x:v>
      </x:c>
      <x:c r="C22" s="328" t="str">
        <x:v>Swagger UI and API documentation settings</x:v>
      </x:c>
      <x:c r="D22" s="328" t="str">
        <x:v>Backend / API Docs</x:v>
      </x:c>
      <x:c r="E22" s="328" t="str">
        <x:v>ឡាំ គីមឡុង</x:v>
      </x:c>
      <x:c r="F22" s="329" t="str">
        <x:v>Lam Kimlong</x:v>
      </x:c>
      <x:c r="G22" s="330"/>
      <x:c r="H22" s="330"/>
      <x:c r="I22" s="330" t="n">
        <x:v>46273</x:v>
      </x:c>
      <x:c r="J22" s="328" t="str">
        <x:v>—</x:v>
      </x:c>
      <x:c r="K22" s="328" t="str">
        <x:v>បានបញ្ចប់</x:v>
      </x:c>
      <x:c r="L22" s="331" t="n">
        <x:v>100</x:v>
      </x:c>
      <x:c r="M22" s="329" t="str">
        <x:v>https://github.com/Ny-Panha/Koupreng-invitation_project/commit/468024ee6a17e161417f2154f2f9c1f9fb56d31a</x:v>
      </x:c>
      <x:c r="N22" s="328" t="str"/>
      <x:c r="O22" s="328" t="str"/>
      <x:c r="P22" s="328" t="str">
        <x:f>IF(H22="","",IF(I22&lt;&gt;"",MAX(0,I22-H22),IF(TODAY()&gt;H22,TODAY()-H22,0)))</x:f>
      </x:c>
      <x:c r="Q22" s="332" t="str">
        <x:v>Traceable commit by Kimlong1610</x:v>
      </x:c>
    </x:row>
    <x:row r="23" ht="32" customHeight="1">
      <x:c r="A23" s="327" t="n">
        <x:v>18</x:v>
      </x:c>
      <x:c r="B23" s="328" t="str">
        <x:v>H-018</x:v>
      </x:c>
      <x:c r="C23" s="328" t="str">
        <x:v>Team Git automation to prevent code collisions</x:v>
      </x:c>
      <x:c r="D23" s="328" t="str">
        <x:v>Team Workflow / Git</x:v>
      </x:c>
      <x:c r="E23" s="328" t="str">
        <x:v>នី បញ្ញា</x:v>
      </x:c>
      <x:c r="F23" s="329" t="str">
        <x:v>Ny Panha</x:v>
      </x:c>
      <x:c r="G23" s="330"/>
      <x:c r="H23" s="330"/>
      <x:c r="I23" s="330" t="n">
        <x:v>46273</x:v>
      </x:c>
      <x:c r="J23" s="328" t="str">
        <x:v>—</x:v>
      </x:c>
      <x:c r="K23" s="328" t="str">
        <x:v>បានបញ្ចប់</x:v>
      </x:c>
      <x:c r="L23" s="331" t="n">
        <x:v>100</x:v>
      </x:c>
      <x:c r="M23" s="329" t="str">
        <x:v>https://github.com/Ny-Panha/Koupreng-invitation_project/commit/c7512d6fdeae920bb4c1da031f852dd8ae7b517f</x:v>
      </x:c>
      <x:c r="N23" s="328" t="str"/>
      <x:c r="O23" s="328" t="str"/>
      <x:c r="P23" s="328" t="str">
        <x:f>IF(H23="","",IF(I23&lt;&gt;"",MAX(0,I23-H23),IF(TODAY()&gt;H23,TODAY()-H23,0)))</x:f>
      </x:c>
      <x:c r="Q23" s="332" t="str">
        <x:v>Team workflow evidence</x:v>
      </x:c>
    </x:row>
    <x:row r="24" ht="32" customHeight="1">
      <x:c r="A24" s="327" t="n">
        <x:v>19</x:v>
      </x:c>
      <x:c r="B24" s="328" t="str">
        <x:v>H-019</x:v>
      </x:c>
      <x:c r="C24" s="328" t="str">
        <x:v>Template live preview sync and curtain gate fix</x:v>
      </x:c>
      <x:c r="D24" s="328" t="str">
        <x:v>Template / Frontend</x:v>
      </x:c>
      <x:c r="E24" s="328" t="str">
        <x:v>នី បញ្ញា</x:v>
      </x:c>
      <x:c r="F24" s="329" t="str">
        <x:v>Ny Panha</x:v>
      </x:c>
      <x:c r="G24" s="330"/>
      <x:c r="H24" s="330"/>
      <x:c r="I24" s="330" t="n">
        <x:v>46273</x:v>
      </x:c>
      <x:c r="J24" s="328" t="str">
        <x:v>—</x:v>
      </x:c>
      <x:c r="K24" s="328" t="str">
        <x:v>បានបញ្ចប់</x:v>
      </x:c>
      <x:c r="L24" s="331" t="n">
        <x:v>100</x:v>
      </x:c>
      <x:c r="M24" s="329" t="str">
        <x:v>https://github.com/Ny-Panha/Koupreng-invitation_project/commit/59eec270c00e1d96d8b97b428a0fefcc6b77dde5</x:v>
      </x:c>
      <x:c r="N24" s="328" t="str"/>
      <x:c r="O24" s="328" t="str"/>
      <x:c r="P24" s="328" t="str">
        <x:f>IF(H24="","",IF(I24&lt;&gt;"",MAX(0,I24-H24),IF(TODAY()&gt;H24,TODAY()-H24,0)))</x:f>
      </x:c>
      <x:c r="Q24" s="332" t="str">
        <x:v>Latest reviewed main commit</x:v>
      </x:c>
    </x:row>
    <x:row r="25" ht="32" customHeight="1">
      <x:c r="A25" s="327" t="n">
        <x:v>20</x:v>
      </x:c>
      <x:c r="B25" s="328" t="str">
        <x:v>P-001</x:v>
      </x:c>
      <x:c r="C25" s="328" t="str">
        <x:v>ផ្ទៀងផ្ទាត់ GitHub account និង Evidence របស់សមាជិកទាំង ៦</x:v>
      </x:c>
      <x:c r="D25" s="328" t="str">
        <x:v>Team Audit</x:v>
      </x:c>
      <x:c r="E25" s="328" t="str">
        <x:v>ក្រុមទាំងមូល</x:v>
      </x:c>
      <x:c r="F25" s="329" t="str">
        <x:v>Whole Team</x:v>
      </x:c>
      <x:c r="G25" s="330" t="n">
        <x:v>46274</x:v>
      </x:c>
      <x:c r="H25" s="330" t="n">
        <x:v>46280</x:v>
      </x:c>
      <x:c r="I25" s="330"/>
      <x:c r="J25" s="328" t="str">
        <x:v>ខ្ពស់</x:v>
      </x:c>
      <x:c r="K25" s="328" t="str">
        <x:v>កំពុងធ្វើ</x:v>
      </x:c>
      <x:c r="L25" s="331" t="n">
        <x:v>20</x:v>
      </x:c>
      <x:c r="M25" s="329" t="str">
        <x:v>វាយតម្លៃក្រុម + ភស្តុតាង GitHub</x:v>
      </x:c>
      <x:c r="N25" s="328" t="str">
        <x:v>កឿង វីរៈ</x:v>
      </x:c>
      <x:c r="O25" s="328" t="str"/>
      <x:c r="P25" s="328" t="n">
        <x:f>IF(H25="","",IF(I25&lt;&gt;"",MAX(0,I25-H25),IF(TODAY()&gt;H25,TODAY()-H25,0)))</x:f>
        <x:v>0</x:v>
      </x:c>
      <x:c r="Q25" s="332" t="str">
        <x:v>ត្រូវ mapping សមាជិក 3 នាក់ទៀតដោយមិនសន្និដ្ឋាន</x:v>
      </x:c>
    </x:row>
    <x:row r="26" ht="32" customHeight="1">
      <x:c r="A26" s="327" t="n">
        <x:v>21</x:v>
      </x:c>
      <x:c r="B26" s="328" t="str">
        <x:v>P-002</x:v>
      </x:c>
      <x:c r="C26" s="328" t="str">
        <x:v>Rotate leaked/old Telegram credential និងកំណត់ incident owner</x:v>
      </x:c>
      <x:c r="D26" s="328" t="str">
        <x:v>Security</x:v>
      </x:c>
      <x:c r="E26" s="328" t="str">
        <x:v>ក្រុមទាំងមូល</x:v>
      </x:c>
      <x:c r="F26" s="329" t="str">
        <x:v>Whole Team</x:v>
      </x:c>
      <x:c r="G26" s="330" t="n">
        <x:v>46274</x:v>
      </x:c>
      <x:c r="H26" s="330" t="n">
        <x:v>46287</x:v>
      </x:c>
      <x:c r="I26" s="330"/>
      <x:c r="J26" s="328" t="str">
        <x:v>បន្ទាន់</x:v>
      </x:c>
      <x:c r="K26" s="328" t="str">
        <x:v>គ្រោង</x:v>
      </x:c>
      <x:c r="L26" s="331" t="n">
        <x:v>0</x:v>
      </x:c>
      <x:c r="M26" s="329" t="str">
        <x:v>docs/security/credential-incident-response.md</x:v>
      </x:c>
      <x:c r="N26" s="328" t="str">
        <x:v>ត្រូវចាត់តាំង</x:v>
      </x:c>
      <x:c r="O26" s="328" t="str"/>
      <x:c r="P26" s="328" t="n">
        <x:f>IF(H26="","",IF(I26&lt;&gt;"",MAX(0,I26-H26),IF(TODAY()&gt;H26,TODAY()-H26,0)))</x:f>
        <x:v>0</x:v>
      </x:c>
      <x:c r="Q26" s="332" t="str">
        <x:v>Release blocker from QA evidence</x:v>
      </x:c>
    </x:row>
    <x:row r="27" ht="32" customHeight="1">
      <x:c r="A27" s="327" t="n">
        <x:v>22</x:v>
      </x:c>
      <x:c r="B27" s="328" t="str">
        <x:v>P-003</x:v>
      </x:c>
      <x:c r="C27" s="328" t="str">
        <x:v>Git history remediation / Gitleaks 29 findings triage</x:v>
      </x:c>
      <x:c r="D27" s="328" t="str">
        <x:v>Security / Git</x:v>
      </x:c>
      <x:c r="E27" s="328" t="str">
        <x:v>ក្រុមទាំងមូល</x:v>
      </x:c>
      <x:c r="F27" s="329" t="str">
        <x:v>Whole Team</x:v>
      </x:c>
      <x:c r="G27" s="330" t="n">
        <x:v>46281</x:v>
      </x:c>
      <x:c r="H27" s="330" t="n">
        <x:v>46295</x:v>
      </x:c>
      <x:c r="I27" s="330"/>
      <x:c r="J27" s="328" t="str">
        <x:v>បន្ទាន់</x:v>
      </x:c>
      <x:c r="K27" s="328" t="str">
        <x:v>គ្រោង</x:v>
      </x:c>
      <x:c r="L27" s="331" t="n">
        <x:v>0</x:v>
      </x:c>
      <x:c r="M27" s="329" t="str">
        <x:v>docs/qa/known-limitations.md</x:v>
      </x:c>
      <x:c r="N27" s="328" t="str">
        <x:v>ត្រូវចាត់តាំង</x:v>
      </x:c>
      <x:c r="O27" s="328" t="str"/>
      <x:c r="P27" s="328" t="n">
        <x:f>IF(H27="","",IF(I27&lt;&gt;"",MAX(0,I27-H27),IF(TODAY()&gt;H27,TODAY()-H27,0)))</x:f>
        <x:v>0</x:v>
      </x:c>
      <x:c r="Q27" s="332" t="str">
        <x:v>Coordinate history rewrite and collaborator re-clone</x:v>
      </x:c>
    </x:row>
    <x:row r="28" ht="32" customHeight="1">
      <x:c r="A28" s="327" t="n">
        <x:v>23</x:v>
      </x:c>
      <x:c r="B28" s="328" t="str">
        <x:v>P-004</x:v>
      </x:c>
      <x:c r="C28" s="328" t="str">
        <x:v>Complete Java/Maven vulnerability advisory scan</x:v>
      </x:c>
      <x:c r="D28" s="328" t="str">
        <x:v>Backend / Security</x:v>
      </x:c>
      <x:c r="E28" s="328" t="str">
        <x:v>ក្រុមទាំងមូល</x:v>
      </x:c>
      <x:c r="F28" s="329" t="str">
        <x:v>Whole Team</x:v>
      </x:c>
      <x:c r="G28" s="330" t="n">
        <x:v>46288</x:v>
      </x:c>
      <x:c r="H28" s="330" t="n">
        <x:v>46301</x:v>
      </x:c>
      <x:c r="I28" s="330"/>
      <x:c r="J28" s="328" t="str">
        <x:v>ខ្ពស់</x:v>
      </x:c>
      <x:c r="K28" s="328" t="str">
        <x:v>គ្រោង</x:v>
      </x:c>
      <x:c r="L28" s="331" t="n">
        <x:v>0</x:v>
      </x:c>
      <x:c r="M28" s="329" t="str">
        <x:v>docs/qa/known-limitations.md</x:v>
      </x:c>
      <x:c r="N28" s="328" t="str">
        <x:v>ត្រូវចាត់តាំង</x:v>
      </x:c>
      <x:c r="O28" s="328" t="str"/>
      <x:c r="P28" s="328" t="n">
        <x:f>IF(H28="","",IF(I28&lt;&gt;"",MAX(0,I28-H28),IF(TODAY()&gt;H28,TODAY()-H28,0)))</x:f>
        <x:v>0</x:v>
      </x:c>
      <x:c r="Q28" s="332" t="str">
        <x:v>Current local OWASP report incomplete</x:v>
      </x:c>
    </x:row>
    <x:row r="29" ht="32" customHeight="1">
      <x:c r="A29" s="327" t="n">
        <x:v>24</x:v>
      </x:c>
      <x:c r="B29" s="328" t="str">
        <x:v>P-005</x:v>
      </x:c>
      <x:c r="C29" s="328" t="str">
        <x:v>Live Google + Telegram authentication validation</x:v>
      </x:c>
      <x:c r="D29" s="328" t="str">
        <x:v>Authentication / Integration</x:v>
      </x:c>
      <x:c r="E29" s="328" t="str">
        <x:v>ក្រុមទាំងមូល</x:v>
      </x:c>
      <x:c r="F29" s="329" t="str">
        <x:v>Whole Team</x:v>
      </x:c>
      <x:c r="G29" s="330" t="n">
        <x:v>46296</x:v>
      </x:c>
      <x:c r="H29" s="330" t="n">
        <x:v>46308</x:v>
      </x:c>
      <x:c r="I29" s="330"/>
      <x:c r="J29" s="328" t="str">
        <x:v>ខ្ពស់</x:v>
      </x:c>
      <x:c r="K29" s="328" t="str">
        <x:v>គ្រោង</x:v>
      </x:c>
      <x:c r="L29" s="331" t="n">
        <x:v>0</x:v>
      </x:c>
      <x:c r="M29" s="329" t="str">
        <x:v>Integration evidence / screenshots</x:v>
      </x:c>
      <x:c r="N29" s="328" t="str">
        <x:v>ត្រូវចាត់តាំង</x:v>
      </x:c>
      <x:c r="O29" s="328" t="str"/>
      <x:c r="P29" s="328" t="n">
        <x:f>IF(H29="","",IF(I29&lt;&gt;"",MAX(0,I29-H29),IF(TODAY()&gt;H29,TODAY()-H29,0)))</x:f>
        <x:v>0</x:v>
      </x:c>
      <x:c r="Q29" s="332" t="str">
        <x:v>External/manual validation required</x:v>
      </x:c>
    </x:row>
    <x:row r="30" ht="32" customHeight="1">
      <x:c r="A30" s="327" t="n">
        <x:v>25</x:v>
      </x:c>
      <x:c r="B30" s="328" t="str">
        <x:v>P-006</x:v>
      </x:c>
      <x:c r="C30" s="328" t="str">
        <x:v>Live ABA checkout/callback + Telegram payment detection test</x:v>
      </x:c>
      <x:c r="D30" s="328" t="str">
        <x:v>Payment / Integration</x:v>
      </x:c>
      <x:c r="E30" s="328" t="str">
        <x:v>ក្រុមទាំងមូល</x:v>
      </x:c>
      <x:c r="F30" s="329" t="str">
        <x:v>Whole Team</x:v>
      </x:c>
      <x:c r="G30" s="330" t="n">
        <x:v>46302</x:v>
      </x:c>
      <x:c r="H30" s="330" t="n">
        <x:v>46315</x:v>
      </x:c>
      <x:c r="I30" s="330"/>
      <x:c r="J30" s="328" t="str">
        <x:v>បន្ទាន់</x:v>
      </x:c>
      <x:c r="K30" s="328" t="str">
        <x:v>គ្រោង</x:v>
      </x:c>
      <x:c r="L30" s="331" t="n">
        <x:v>0</x:v>
      </x:c>
      <x:c r="M30" s="329" t="str">
        <x:v>Payment test evidence</x:v>
      </x:c>
      <x:c r="N30" s="328" t="str">
        <x:v>ត្រូវចាត់តាំង</x:v>
      </x:c>
      <x:c r="O30" s="328" t="str"/>
      <x:c r="P30" s="328" t="n">
        <x:f>IF(H30="","",IF(I30&lt;&gt;"",MAX(0,I30-H30),IF(TODAY()&gt;H30,TODAY()-H30,0)))</x:f>
        <x:v>0</x:v>
      </x:c>
      <x:c r="Q30" s="332" t="str">
        <x:v>Must verify real payment reconciliation</x:v>
      </x:c>
    </x:row>
    <x:row r="31" ht="32" customHeight="1">
      <x:c r="A31" s="327" t="n">
        <x:v>26</x:v>
      </x:c>
      <x:c r="B31" s="328" t="str">
        <x:v>P-007</x:v>
      </x:c>
      <x:c r="C31" s="328" t="str">
        <x:v>SMTP/email + storage/Cloudinary + DNS/TLS/CORS validation</x:v>
      </x:c>
      <x:c r="D31" s="328" t="str">
        <x:v>Infrastructure / Integration</x:v>
      </x:c>
      <x:c r="E31" s="328" t="str">
        <x:v>ក្រុមទាំងមូល</x:v>
      </x:c>
      <x:c r="F31" s="329" t="str">
        <x:v>Whole Team</x:v>
      </x:c>
      <x:c r="G31" s="330" t="n">
        <x:v>46309</x:v>
      </x:c>
      <x:c r="H31" s="330" t="n">
        <x:v>46322</x:v>
      </x:c>
      <x:c r="I31" s="330"/>
      <x:c r="J31" s="328" t="str">
        <x:v>ខ្ពស់</x:v>
      </x:c>
      <x:c r="K31" s="328" t="str">
        <x:v>គ្រោង</x:v>
      </x:c>
      <x:c r="L31" s="331" t="n">
        <x:v>0</x:v>
      </x:c>
      <x:c r="M31" s="329" t="str">
        <x:v>Deployment configuration evidence</x:v>
      </x:c>
      <x:c r="N31" s="328" t="str">
        <x:v>ត្រូវចាត់តាំង</x:v>
      </x:c>
      <x:c r="O31" s="328" t="str"/>
      <x:c r="P31" s="328" t="n">
        <x:f>IF(H31="","",IF(I31&lt;&gt;"",MAX(0,I31-H31),IF(TODAY()&gt;H31,TODAY()-H31,0)))</x:f>
        <x:v>0</x:v>
      </x:c>
      <x:c r="Q31" s="332" t="str">
        <x:v>External services validation</x:v>
      </x:c>
    </x:row>
    <x:row r="32" ht="32" customHeight="1">
      <x:c r="A32" s="327" t="n">
        <x:v>27</x:v>
      </x:c>
      <x:c r="B32" s="328" t="str">
        <x:v>P-008</x:v>
      </x:c>
      <x:c r="C32" s="328" t="str">
        <x:v>Staging deployment + Railway/service topology evidence</x:v>
      </x:c>
      <x:c r="D32" s="328" t="str">
        <x:v>Deployment</x:v>
      </x:c>
      <x:c r="E32" s="328" t="str">
        <x:v>ក្រុមទាំងមូល</x:v>
      </x:c>
      <x:c r="F32" s="329" t="str">
        <x:v>Whole Team</x:v>
      </x:c>
      <x:c r="G32" s="330" t="n">
        <x:v>46316</x:v>
      </x:c>
      <x:c r="H32" s="330" t="n">
        <x:v>46329</x:v>
      </x:c>
      <x:c r="I32" s="330"/>
      <x:c r="J32" s="328" t="str">
        <x:v>ខ្ពស់</x:v>
      </x:c>
      <x:c r="K32" s="328" t="str">
        <x:v>គ្រោង</x:v>
      </x:c>
      <x:c r="L32" s="331" t="n">
        <x:v>0</x:v>
      </x:c>
      <x:c r="M32" s="329" t="str">
        <x:v>Deployment URL / logs / service mapping</x:v>
      </x:c>
      <x:c r="N32" s="328" t="str">
        <x:v>ត្រូវចាត់តាំង</x:v>
      </x:c>
      <x:c r="O32" s="328" t="str"/>
      <x:c r="P32" s="328" t="n">
        <x:f>IF(H32="","",IF(I32&lt;&gt;"",MAX(0,I32-H32),IF(TODAY()&gt;H32,TODAY()-H32,0)))</x:f>
        <x:v>0</x:v>
      </x:c>
      <x:c r="Q32" s="332" t="str">
        <x:v>No Railway-ready claim until evidence exists</x:v>
      </x:c>
    </x:row>
    <x:row r="33" ht="32" customHeight="1">
      <x:c r="A33" s="327" t="n">
        <x:v>28</x:v>
      </x:c>
      <x:c r="B33" s="328" t="str">
        <x:v>P-009</x:v>
      </x:c>
      <x:c r="C33" s="328" t="str">
        <x:v>Full staging E2E: create/edit/publish/RSVP/admin/payment</x:v>
      </x:c>
      <x:c r="D33" s="328" t="str">
        <x:v>QA / E2E</x:v>
      </x:c>
      <x:c r="E33" s="328" t="str">
        <x:v>ក្រុមទាំងមូល</x:v>
      </x:c>
      <x:c r="F33" s="329" t="str">
        <x:v>Whole Team</x:v>
      </x:c>
      <x:c r="G33" s="330" t="n">
        <x:v>46327</x:v>
      </x:c>
      <x:c r="H33" s="330" t="n">
        <x:v>46336</x:v>
      </x:c>
      <x:c r="I33" s="330"/>
      <x:c r="J33" s="328" t="str">
        <x:v>បន្ទាន់</x:v>
      </x:c>
      <x:c r="K33" s="328" t="str">
        <x:v>គ្រោង</x:v>
      </x:c>
      <x:c r="L33" s="331" t="n">
        <x:v>0</x:v>
      </x:c>
      <x:c r="M33" s="329" t="str">
        <x:v>Staging E2E report</x:v>
      </x:c>
      <x:c r="N33" s="328" t="str">
        <x:v>ក្រុម QA</x:v>
      </x:c>
      <x:c r="O33" s="328" t="str"/>
      <x:c r="P33" s="328" t="n">
        <x:f>IF(H33="","",IF(I33&lt;&gt;"",MAX(0,I33-H33),IF(TODAY()&gt;H33,TODAY()-H33,0)))</x:f>
        <x:v>0</x:v>
      </x:c>
      <x:c r="Q33" s="332" t="str">
        <x:v>Representative staging data required</x:v>
      </x:c>
    </x:row>
    <x:row r="34" ht="32" customHeight="1">
      <x:c r="A34" s="327" t="n">
        <x:v>29</x:v>
      </x:c>
      <x:c r="B34" s="328" t="str">
        <x:v>P-010</x:v>
      </x:c>
      <x:c r="C34" s="328" t="str">
        <x:v>Accessibility + performance + large bundle optimization review</x:v>
      </x:c>
      <x:c r="D34" s="328" t="str">
        <x:v>QA / UX / Performance</x:v>
      </x:c>
      <x:c r="E34" s="328" t="str">
        <x:v>ក្រុមទាំងមូល</x:v>
      </x:c>
      <x:c r="F34" s="329" t="str">
        <x:v>Whole Team</x:v>
      </x:c>
      <x:c r="G34" s="330" t="n">
        <x:v>46331</x:v>
      </x:c>
      <x:c r="H34" s="330" t="n">
        <x:v>46343</x:v>
      </x:c>
      <x:c r="I34" s="330"/>
      <x:c r="J34" s="328" t="str">
        <x:v>មធ្យម</x:v>
      </x:c>
      <x:c r="K34" s="328" t="str">
        <x:v>គ្រោង</x:v>
      </x:c>
      <x:c r="L34" s="331" t="n">
        <x:v>0</x:v>
      </x:c>
      <x:c r="M34" s="329" t="str">
        <x:v>Lighthouse / a11y checklist / build metrics</x:v>
      </x:c>
      <x:c r="N34" s="328" t="str">
        <x:v>ក្រុម QA</x:v>
      </x:c>
      <x:c r="O34" s="328" t="str"/>
      <x:c r="P34" s="328" t="n">
        <x:f>IF(H34="","",IF(I34&lt;&gt;"",MAX(0,I34-H34),IF(TODAY()&gt;H34,TODAY()-H34,0)))</x:f>
        <x:v>0</x:v>
      </x:c>
      <x:c r="Q34" s="332" t="str">
        <x:v>Includes focus, contrast, reduced motion, performance budgets</x:v>
      </x:c>
    </x:row>
    <x:row r="35" ht="32" customHeight="1">
      <x:c r="A35" s="327" t="n">
        <x:v>30</x:v>
      </x:c>
      <x:c r="B35" s="328" t="str">
        <x:v>P-011</x:v>
      </x:c>
      <x:c r="C35" s="328" t="str">
        <x:v>Final project report, API/ERD/architecture/user guide evidence</x:v>
      </x:c>
      <x:c r="D35" s="328" t="str">
        <x:v>Documentation</x:v>
      </x:c>
      <x:c r="E35" s="328" t="str">
        <x:v>ក្រុមទាំងមូល</x:v>
      </x:c>
      <x:c r="F35" s="329" t="str">
        <x:v>Whole Team</x:v>
      </x:c>
      <x:c r="G35" s="330" t="n">
        <x:v>46337</x:v>
      </x:c>
      <x:c r="H35" s="330" t="n">
        <x:v>46350</x:v>
      </x:c>
      <x:c r="I35" s="330"/>
      <x:c r="J35" s="328" t="str">
        <x:v>ខ្ពស់</x:v>
      </x:c>
      <x:c r="K35" s="328" t="str">
        <x:v>គ្រោង</x:v>
      </x:c>
      <x:c r="L35" s="331" t="n">
        <x:v>0</x:v>
      </x:c>
      <x:c r="M35" s="329" t="str">
        <x:v>Final report / diagrams / appendix</x:v>
      </x:c>
      <x:c r="N35" s="328" t="str">
        <x:v>កឿង វីរៈ</x:v>
      </x:c>
      <x:c r="O35" s="328" t="str"/>
      <x:c r="P35" s="328" t="n">
        <x:f>IF(H35="","",IF(I35&lt;&gt;"",MAX(0,I35-H35),IF(TODAY()&gt;H35,TODAY()-H35,0)))</x:f>
        <x:v>0</x:v>
      </x:c>
      <x:c r="Q35" s="332" t="str">
        <x:v>Align with university project paper guideline</x:v>
      </x:c>
    </x:row>
    <x:row r="36" ht="32" customHeight="1">
      <x:c r="A36" s="327" t="n">
        <x:v>31</x:v>
      </x:c>
      <x:c r="B36" s="328" t="str">
        <x:v>P-012</x:v>
      </x:c>
      <x:c r="C36" s="328" t="str">
        <x:v>Final demo, defense rehearsal, backup &amp; recovery drill</x:v>
      </x:c>
      <x:c r="D36" s="328" t="str">
        <x:v>Finalization</x:v>
      </x:c>
      <x:c r="E36" s="328" t="str">
        <x:v>ក្រុមទាំងមូល</x:v>
      </x:c>
      <x:c r="F36" s="329" t="str">
        <x:v>Whole Team</x:v>
      </x:c>
      <x:c r="G36" s="330" t="n">
        <x:v>46344</x:v>
      </x:c>
      <x:c r="H36" s="330" t="n">
        <x:v>46353</x:v>
      </x:c>
      <x:c r="I36" s="330"/>
      <x:c r="J36" s="328" t="str">
        <x:v>ខ្ពស់</x:v>
      </x:c>
      <x:c r="K36" s="328" t="str">
        <x:v>គ្រោង</x:v>
      </x:c>
      <x:c r="L36" s="331" t="n">
        <x:v>0</x:v>
      </x:c>
      <x:c r="M36" s="329" t="str">
        <x:v>Demo checklist / backup evidence</x:v>
      </x:c>
      <x:c r="N36" s="328" t="str">
        <x:v>កឿង វីរៈ</x:v>
      </x:c>
      <x:c r="O36" s="328" t="str"/>
      <x:c r="P36" s="328" t="n">
        <x:f>IF(H36="","",IF(I36&lt;&gt;"",MAX(0,I36-H36),IF(TODAY()&gt;H36,TODAY()-H36,0)))</x:f>
        <x:v>0</x:v>
      </x:c>
      <x:c r="Q36" s="332" t="str">
        <x:v>All members participate</x:v>
      </x:c>
    </x:row>
    <x:row r="37" ht="32" customHeight="1">
      <x:c r="A37" s="327" t="n">
        <x:v>32</x:v>
      </x:c>
      <x:c r="B37" s="328" t="str">
        <x:v>P-013</x:v>
      </x:c>
      <x:c r="C37" s="328" t="str">
        <x:v>Final QA/QC, code freeze, evidence archive and submission</x:v>
      </x:c>
      <x:c r="D37" s="328" t="str">
        <x:v>Project Closure</x:v>
      </x:c>
      <x:c r="E37" s="328" t="str">
        <x:v>ក្រុមទាំងមូល</x:v>
      </x:c>
      <x:c r="F37" s="329" t="str">
        <x:v>Whole Team</x:v>
      </x:c>
      <x:c r="G37" s="330" t="n">
        <x:v>46351</x:v>
      </x:c>
      <x:c r="H37" s="330" t="n">
        <x:v>46357</x:v>
      </x:c>
      <x:c r="I37" s="330"/>
      <x:c r="J37" s="328" t="str">
        <x:v>បន្ទាន់</x:v>
      </x:c>
      <x:c r="K37" s="328" t="str">
        <x:v>គ្រោង</x:v>
      </x:c>
      <x:c r="L37" s="331" t="n">
        <x:v>0</x:v>
      </x:c>
      <x:c r="M37" s="329" t="str">
        <x:v>Final build + submission package</x:v>
      </x:c>
      <x:c r="N37" s="328" t="str">
        <x:v>កឿង វីរៈ</x:v>
      </x:c>
      <x:c r="O37" s="328" t="str"/>
      <x:c r="P37" s="328" t="n">
        <x:f>IF(H37="","",IF(I37&lt;&gt;"",MAX(0,I37-H37),IF(TODAY()&gt;H37,TODAY()-H37,0)))</x:f>
        <x:v>0</x:v>
      </x:c>
      <x:c r="Q37" s="332" t="str">
        <x:v>គ្រប់ Process ត្រូវបញ្ចប់ត្រឹម 01-Dec-2026</x:v>
      </x:c>
    </x:row>
    <x:row r="38">
      <x:c r="A38" s="327" t="n">
        <x:v>33</x:v>
      </x:c>
      <x:c r="B38" s="328" t="str">
        <x:v>W1-001</x:v>
      </x:c>
      <x:c r="C38" s="328" t="str">
        <x:v>Backend security/API regression + OWASP Java dependency report</x:v>
      </x:c>
      <x:c r="D38" s="328" t="str">
        <x:v>Backend / Security / API</x:v>
      </x:c>
      <x:c r="E38" s="328" t="str">
        <x:v>ឡាំ គីមឡុង</x:v>
      </x:c>
      <x:c r="F38" s="329" t="str">
        <x:v>Lam Kimlong</x:v>
      </x:c>
      <x:c r="G38" s="330" t="n">
        <x:v>46275</x:v>
      </x:c>
      <x:c r="H38" s="330" t="n">
        <x:v>46278</x:v>
      </x:c>
      <x:c r="I38" s="330"/>
      <x:c r="J38" s="328" t="str">
        <x:v>ខ្ពស់</x:v>
      </x:c>
      <x:c r="K38" s="328" t="str">
        <x:v>គ្រោង</x:v>
      </x:c>
      <x:c r="L38" s="331" t="n">
        <x:v>0</x:v>
      </x:c>
      <x:c r="M38" s="329" t="str">
        <x:v>PR + mvn test output + OWASP dependency report</x:v>
      </x:c>
      <x:c r="N38" s="328" t="str">
        <x:v>កឿង វីរៈ</x:v>
      </x:c>
      <x:c r="O38" s="328"/>
      <x:c r="P38" s="430" t="n">
        <x:f>IF(H38="","",IF(I38&lt;&gt;"",MAX(0,I38-H38),IF(TODAY()&gt;H38,TODAY()-H38,0)))</x:f>
        <x:v>0</x:v>
      </x:c>
      <x:c r="Q38" s="332" t="str">
        <x:v>Run backend tests; generate OWASP Java dependency report; verify Swagger/Scalar security/config; fix safe High/Critical findings. Branch: feat/week1-backend-security-api. Checkpoint: 12-Sep 18:00.</x:v>
      </x:c>
    </x:row>
    <x:row r="39">
      <x:c r="A39" s="327" t="n">
        <x:v>34</x:v>
      </x:c>
      <x:c r="B39" s="328" t="str">
        <x:v>W1-002</x:v>
      </x:c>
      <x:c r="C39" s="328" t="str">
        <x:v>Payment/Telegram backend integration readiness and regression tests</x:v>
      </x:c>
      <x:c r="D39" s="328" t="str">
        <x:v>Backend / Payment / Telegram</x:v>
      </x:c>
      <x:c r="E39" s="328" t="str">
        <x:v>គុយ ដាលី</x:v>
      </x:c>
      <x:c r="F39" s="329" t="str">
        <x:v>Kuy Daly</x:v>
      </x:c>
      <x:c r="G39" s="330" t="n">
        <x:v>46275</x:v>
      </x:c>
      <x:c r="H39" s="330" t="n">
        <x:v>46278</x:v>
      </x:c>
      <x:c r="I39" s="330"/>
      <x:c r="J39" s="328" t="str">
        <x:v>ខ្ពស់</x:v>
      </x:c>
      <x:c r="K39" s="328" t="str">
        <x:v>គ្រោង</x:v>
      </x:c>
      <x:c r="L39" s="331" t="n">
        <x:v>0</x:v>
      </x:c>
      <x:c r="M39" s="329" t="str">
        <x:v>PR + Postman/mock evidence + backend test output</x:v>
      </x:c>
      <x:c r="N39" s="328" t="str">
        <x:v>កឿង វីរៈ</x:v>
      </x:c>
      <x:c r="O39" s="328"/>
      <x:c r="P39" s="430" t="n">
        <x:f>IF(H39="","",IF(I39&lt;&gt;"",MAX(0,I39-H39),IF(TODAY()&gt;H39,TODAY()-H39,0)))</x:f>
        <x:v>0</x:v>
      </x:c>
      <x:c r="Q39" s="332" t="str">
        <x:v>Validate order/payment state flow, amount/order checks, duplicate confirmation/idempotency and Telegram/manual confirmation path using mock/local evidence when live provider access is unavailable. Branch: feat/week1-payment-integration-tests. Checkpoint: 12-Sep 18:00.</x:v>
      </x:c>
    </x:row>
    <x:row r="40">
      <x:c r="A40" s="327" t="n">
        <x:v>35</x:v>
      </x:c>
      <x:c r="B40" s="328" t="str">
        <x:v>W1-003</x:v>
      </x:c>
      <x:c r="C40" s="328" t="str">
        <x:v>User + Admin frontend integration regression and priority bug fixes</x:v>
      </x:c>
      <x:c r="D40" s="328" t="str">
        <x:v>Frontend / User / Admin</x:v>
      </x:c>
      <x:c r="E40" s="328" t="str">
        <x:v>នី បញ្ញា</x:v>
      </x:c>
      <x:c r="F40" s="329" t="str">
        <x:v>Ny Panha</x:v>
      </x:c>
      <x:c r="G40" s="330" t="n">
        <x:v>46275</x:v>
      </x:c>
      <x:c r="H40" s="330" t="n">
        <x:v>46278</x:v>
      </x:c>
      <x:c r="I40" s="330"/>
      <x:c r="J40" s="328" t="str">
        <x:v>ខ្ពស់</x:v>
      </x:c>
      <x:c r="K40" s="328" t="str">
        <x:v>គ្រោង</x:v>
      </x:c>
      <x:c r="L40" s="331" t="n">
        <x:v>0</x:v>
      </x:c>
      <x:c r="M40" s="329" t="str">
        <x:v>PR + screenshots + lint/build/test evidence</x:v>
      </x:c>
      <x:c r="N40" s="328" t="str">
        <x:v>កឿង វីរៈ</x:v>
      </x:c>
      <x:c r="O40" s="328"/>
      <x:c r="P40" s="430" t="n">
        <x:f>IF(H40="","",IF(I40&lt;&gt;"",MAX(0,I40-H40),IF(TODAY()&gt;H40,TODAY()-H40,0)))</x:f>
        <x:v>0</x:v>
      </x:c>
      <x:c r="Q40" s="332" t="str">
        <x:v>Test auth guards, dashboard, template create/edit/preview and admin user/template management; fix reproducible P0/P1 UI/API/route issues; ensure user/admin builds pass. Branch: fix/week1-user-admin-regression. Checkpoint: 12-Sep 18:00.</x:v>
      </x:c>
    </x:row>
    <x:row r="41">
      <x:c r="A41" s="327" t="n">
        <x:v>36</x:v>
      </x:c>
      <x:c r="B41" s="328" t="str">
        <x:v>W1-004</x:v>
      </x:c>
      <x:c r="C41" s="328" t="str">
        <x:v>User frontend responsive + accessibility QA and fixes</x:v>
      </x:c>
      <x:c r="D41" s="328" t="str">
        <x:v>Frontend / User / UX / A11y</x:v>
      </x:c>
      <x:c r="E41" s="328" t="str">
        <x:v>គក់ ស្រីផ្កាយ</x:v>
      </x:c>
      <x:c r="F41" s="329" t="str">
        <x:v>Kouk SreyPkay</x:v>
      </x:c>
      <x:c r="G41" s="330" t="n">
        <x:v>46275</x:v>
      </x:c>
      <x:c r="H41" s="330" t="n">
        <x:v>46278</x:v>
      </x:c>
      <x:c r="I41" s="330"/>
      <x:c r="J41" s="328" t="str">
        <x:v>ខ្ពស់</x:v>
      </x:c>
      <x:c r="K41" s="328" t="str">
        <x:v>គ្រោង</x:v>
      </x:c>
      <x:c r="L41" s="331" t="n">
        <x:v>0</x:v>
      </x:c>
      <x:c r="M41" s="329" t="str">
        <x:v>PR + mobile screenshots + QA checklist</x:v>
      </x:c>
      <x:c r="N41" s="328" t="str">
        <x:v>កឿង វីរៈ</x:v>
      </x:c>
      <x:c r="O41" s="328"/>
      <x:c r="P41" s="430" t="n">
        <x:f>IF(H41="","",IF(I41&lt;&gt;"",MAX(0,I41-H41),IF(TODAY()&gt;H41,TODAY()-H41,0)))</x:f>
        <x:v>0</x:v>
      </x:c>
      <x:c r="Q41" s="332" t="str">
        <x:v>Audit Dashboard, Template Catalog and Invitation Builder at 360/390/412px plus desktop; check overflow, forms, loading/error/empty states, keyboard/focus; fix high-impact issues. Branch: fix/week1-user-responsive-a11y. Checkpoint: 12-Sep 18:00.</x:v>
      </x:c>
    </x:row>
    <x:row r="42">
      <x:c r="A42" s="327" t="n">
        <x:v>37</x:v>
      </x:c>
      <x:c r="B42" s="328" t="str">
        <x:v>W1-005</x:v>
      </x:c>
      <x:c r="C42" s="328" t="str">
        <x:v>Public invitation + RSVP visual/functional QA</x:v>
      </x:c>
      <x:c r="D42" s="328" t="str">
        <x:v>Frontend / Public / RSVP / Template QA</x:v>
      </x:c>
      <x:c r="E42" s="328" t="str">
        <x:v>រ៉ាន់ ណារ៉ាត់</x:v>
      </x:c>
      <x:c r="F42" s="329" t="str">
        <x:v>Ran Narath</x:v>
      </x:c>
      <x:c r="G42" s="330" t="n">
        <x:v>46275</x:v>
      </x:c>
      <x:c r="H42" s="330" t="n">
        <x:v>46278</x:v>
      </x:c>
      <x:c r="I42" s="330"/>
      <x:c r="J42" s="328" t="str">
        <x:v>ខ្ពស់</x:v>
      </x:c>
      <x:c r="K42" s="328" t="str">
        <x:v>គ្រោង</x:v>
      </x:c>
      <x:c r="L42" s="331" t="n">
        <x:v>0</x:v>
      </x:c>
      <x:c r="M42" s="329" t="str">
        <x:v>PR or QA report + screenshots + defect checklist</x:v>
      </x:c>
      <x:c r="N42" s="328" t="str">
        <x:v>កឿង វីរៈ</x:v>
      </x:c>
      <x:c r="O42" s="328"/>
      <x:c r="P42" s="430" t="n">
        <x:f>IF(H42="","",IF(I42&lt;&gt;"",MAX(0,I42-H42),IF(TODAY()&gt;H42,TODAY()-H42,0)))</x:f>
        <x:v>0</x:v>
      </x:c>
      <x:c r="Q42" s="332" t="str">
        <x:v>Review CanvaKhmerWeddingTemplate on mobile/desktop: typography/spacing, opening animation, RSVP, gallery, music, location and upload fallbacks; fix P0/P1 defects or document evidence if no code change. Branch: test/week1-public-rsvp-visual-qa. Checkpoint: 12-Sep 18:00.</x:v>
      </x:c>
    </x:row>
    <x:row r="43">
      <x:c r="A43" s="327" t="n">
        <x:v>38</x:v>
      </x:c>
      <x:c r="B43" s="328"/>
      <x:c r="C43" s="328"/>
      <x:c r="D43" s="328"/>
      <x:c r="E43" s="328"/>
      <x:c r="F43" s="329"/>
      <x:c r="G43" s="330"/>
      <x:c r="H43" s="330"/>
      <x:c r="I43" s="330"/>
      <x:c r="J43" s="328"/>
      <x:c r="K43" s="328"/>
      <x:c r="L43" s="331"/>
      <x:c r="M43" s="329"/>
      <x:c r="N43" s="328"/>
      <x:c r="O43" s="328"/>
      <x:c r="P43" s="328" t="str">
        <x:f>IF(H43="","",IF(I43&lt;&gt;"",MAX(0,I43-H43),IF(TODAY()&gt;H43,TODAY()-H43,0)))</x:f>
      </x:c>
      <x:c r="Q43" s="332"/>
    </x:row>
    <x:row r="44">
      <x:c r="A44" s="327" t="n">
        <x:v>39</x:v>
      </x:c>
      <x:c r="B44" s="328"/>
      <x:c r="C44" s="328"/>
      <x:c r="D44" s="328"/>
      <x:c r="E44" s="328"/>
      <x:c r="F44" s="329"/>
      <x:c r="G44" s="330"/>
      <x:c r="H44" s="330"/>
      <x:c r="I44" s="330"/>
      <x:c r="J44" s="328"/>
      <x:c r="K44" s="328"/>
      <x:c r="L44" s="331"/>
      <x:c r="M44" s="329"/>
      <x:c r="N44" s="328"/>
      <x:c r="O44" s="328"/>
      <x:c r="P44" s="328" t="str">
        <x:f>IF(H44="","",IF(I44&lt;&gt;"",MAX(0,I44-H44),IF(TODAY()&gt;H44,TODAY()-H44,0)))</x:f>
      </x:c>
      <x:c r="Q44" s="332"/>
    </x:row>
    <x:row r="45">
      <x:c r="A45" s="327" t="n">
        <x:v>40</x:v>
      </x:c>
      <x:c r="B45" s="328"/>
      <x:c r="C45" s="328"/>
      <x:c r="D45" s="328"/>
      <x:c r="E45" s="328"/>
      <x:c r="F45" s="329"/>
      <x:c r="G45" s="330"/>
      <x:c r="H45" s="330"/>
      <x:c r="I45" s="330"/>
      <x:c r="J45" s="328"/>
      <x:c r="K45" s="328"/>
      <x:c r="L45" s="331"/>
      <x:c r="M45" s="329"/>
      <x:c r="N45" s="328"/>
      <x:c r="O45" s="328"/>
      <x:c r="P45" s="328" t="str">
        <x:f>IF(H45="","",IF(I45&lt;&gt;"",MAX(0,I45-H45),IF(TODAY()&gt;H45,TODAY()-H45,0)))</x:f>
      </x:c>
      <x:c r="Q45" s="332"/>
    </x:row>
    <x:row r="46">
      <x:c r="A46" s="327" t="n">
        <x:v>41</x:v>
      </x:c>
      <x:c r="B46" s="328"/>
      <x:c r="C46" s="328"/>
      <x:c r="D46" s="328"/>
      <x:c r="E46" s="328"/>
      <x:c r="F46" s="329"/>
      <x:c r="G46" s="330"/>
      <x:c r="H46" s="330"/>
      <x:c r="I46" s="330"/>
      <x:c r="J46" s="328"/>
      <x:c r="K46" s="328"/>
      <x:c r="L46" s="331"/>
      <x:c r="M46" s="329"/>
      <x:c r="N46" s="328"/>
      <x:c r="O46" s="328"/>
      <x:c r="P46" s="328" t="str">
        <x:f>IF(H46="","",IF(I46&lt;&gt;"",MAX(0,I46-H46),IF(TODAY()&gt;H46,TODAY()-H46,0)))</x:f>
      </x:c>
      <x:c r="Q46" s="332"/>
    </x:row>
    <x:row r="47">
      <x:c r="A47" s="327" t="n">
        <x:v>42</x:v>
      </x:c>
      <x:c r="B47" s="328"/>
      <x:c r="C47" s="328"/>
      <x:c r="D47" s="328"/>
      <x:c r="E47" s="328"/>
      <x:c r="F47" s="329"/>
      <x:c r="G47" s="330"/>
      <x:c r="H47" s="330"/>
      <x:c r="I47" s="330"/>
      <x:c r="J47" s="328"/>
      <x:c r="K47" s="328"/>
      <x:c r="L47" s="331"/>
      <x:c r="M47" s="329"/>
      <x:c r="N47" s="328"/>
      <x:c r="O47" s="328"/>
      <x:c r="P47" s="328" t="str">
        <x:f>IF(H47="","",IF(I47&lt;&gt;"",MAX(0,I47-H47),IF(TODAY()&gt;H47,TODAY()-H47,0)))</x:f>
      </x:c>
      <x:c r="Q47" s="332"/>
    </x:row>
    <x:row r="48">
      <x:c r="A48" s="327" t="n">
        <x:v>43</x:v>
      </x:c>
      <x:c r="B48" s="328"/>
      <x:c r="C48" s="328"/>
      <x:c r="D48" s="328"/>
      <x:c r="E48" s="328"/>
      <x:c r="F48" s="329"/>
      <x:c r="G48" s="330"/>
      <x:c r="H48" s="330"/>
      <x:c r="I48" s="330"/>
      <x:c r="J48" s="328"/>
      <x:c r="K48" s="328"/>
      <x:c r="L48" s="331"/>
      <x:c r="M48" s="329"/>
      <x:c r="N48" s="328"/>
      <x:c r="O48" s="328"/>
      <x:c r="P48" s="328" t="str">
        <x:f>IF(H48="","",IF(I48&lt;&gt;"",MAX(0,I48-H48),IF(TODAY()&gt;H48,TODAY()-H48,0)))</x:f>
      </x:c>
      <x:c r="Q48" s="332"/>
    </x:row>
    <x:row r="49">
      <x:c r="A49" s="327" t="n">
        <x:v>44</x:v>
      </x:c>
      <x:c r="B49" s="328"/>
      <x:c r="C49" s="328"/>
      <x:c r="D49" s="328"/>
      <x:c r="E49" s="328"/>
      <x:c r="F49" s="329"/>
      <x:c r="G49" s="330"/>
      <x:c r="H49" s="330"/>
      <x:c r="I49" s="330"/>
      <x:c r="J49" s="328"/>
      <x:c r="K49" s="328"/>
      <x:c r="L49" s="331"/>
      <x:c r="M49" s="329"/>
      <x:c r="N49" s="328"/>
      <x:c r="O49" s="328"/>
      <x:c r="P49" s="328" t="str">
        <x:f>IF(H49="","",IF(I49&lt;&gt;"",MAX(0,I49-H49),IF(TODAY()&gt;H49,TODAY()-H49,0)))</x:f>
      </x:c>
      <x:c r="Q49" s="332"/>
    </x:row>
    <x:row r="50">
      <x:c r="A50" s="327" t="n">
        <x:v>45</x:v>
      </x:c>
      <x:c r="B50" s="328"/>
      <x:c r="C50" s="328"/>
      <x:c r="D50" s="328"/>
      <x:c r="E50" s="328"/>
      <x:c r="F50" s="329"/>
      <x:c r="G50" s="330"/>
      <x:c r="H50" s="330"/>
      <x:c r="I50" s="330"/>
      <x:c r="J50" s="328"/>
      <x:c r="K50" s="328"/>
      <x:c r="L50" s="331"/>
      <x:c r="M50" s="329"/>
      <x:c r="N50" s="328"/>
      <x:c r="O50" s="328"/>
      <x:c r="P50" s="328" t="str">
        <x:f>IF(H50="","",IF(I50&lt;&gt;"",MAX(0,I50-H50),IF(TODAY()&gt;H50,TODAY()-H50,0)))</x:f>
      </x:c>
      <x:c r="Q50" s="332"/>
    </x:row>
    <x:row r="51">
      <x:c r="A51" s="327" t="n">
        <x:v>46</x:v>
      </x:c>
      <x:c r="B51" s="328"/>
      <x:c r="C51" s="328"/>
      <x:c r="D51" s="328"/>
      <x:c r="E51" s="328"/>
      <x:c r="F51" s="329"/>
      <x:c r="G51" s="330"/>
      <x:c r="H51" s="330"/>
      <x:c r="I51" s="330"/>
      <x:c r="J51" s="328"/>
      <x:c r="K51" s="328"/>
      <x:c r="L51" s="331"/>
      <x:c r="M51" s="329"/>
      <x:c r="N51" s="328"/>
      <x:c r="O51" s="328"/>
      <x:c r="P51" s="328" t="str">
        <x:f>IF(H51="","",IF(I51&lt;&gt;"",MAX(0,I51-H51),IF(TODAY()&gt;H51,TODAY()-H51,0)))</x:f>
      </x:c>
      <x:c r="Q51" s="332"/>
    </x:row>
    <x:row r="52">
      <x:c r="A52" s="327" t="n">
        <x:v>47</x:v>
      </x:c>
      <x:c r="B52" s="328"/>
      <x:c r="C52" s="328"/>
      <x:c r="D52" s="328"/>
      <x:c r="E52" s="328"/>
      <x:c r="F52" s="329"/>
      <x:c r="G52" s="330"/>
      <x:c r="H52" s="330"/>
      <x:c r="I52" s="330"/>
      <x:c r="J52" s="328"/>
      <x:c r="K52" s="328"/>
      <x:c r="L52" s="331"/>
      <x:c r="M52" s="329"/>
      <x:c r="N52" s="328"/>
      <x:c r="O52" s="328"/>
      <x:c r="P52" s="328" t="str">
        <x:f>IF(H52="","",IF(I52&lt;&gt;"",MAX(0,I52-H52),IF(TODAY()&gt;H52,TODAY()-H52,0)))</x:f>
      </x:c>
      <x:c r="Q52" s="332"/>
    </x:row>
    <x:row r="53">
      <x:c r="A53" s="327" t="n">
        <x:v>48</x:v>
      </x:c>
      <x:c r="B53" s="328"/>
      <x:c r="C53" s="328"/>
      <x:c r="D53" s="328"/>
      <x:c r="E53" s="328"/>
      <x:c r="F53" s="329"/>
      <x:c r="G53" s="330"/>
      <x:c r="H53" s="330"/>
      <x:c r="I53" s="330"/>
      <x:c r="J53" s="328"/>
      <x:c r="K53" s="328"/>
      <x:c r="L53" s="331"/>
      <x:c r="M53" s="329"/>
      <x:c r="N53" s="328"/>
      <x:c r="O53" s="328"/>
      <x:c r="P53" s="328" t="str">
        <x:f>IF(H53="","",IF(I53&lt;&gt;"",MAX(0,I53-H53),IF(TODAY()&gt;H53,TODAY()-H53,0)))</x:f>
      </x:c>
      <x:c r="Q53" s="332"/>
    </x:row>
    <x:row r="54">
      <x:c r="A54" s="327" t="n">
        <x:v>49</x:v>
      </x:c>
      <x:c r="B54" s="328"/>
      <x:c r="C54" s="328"/>
      <x:c r="D54" s="328"/>
      <x:c r="E54" s="328"/>
      <x:c r="F54" s="329"/>
      <x:c r="G54" s="330"/>
      <x:c r="H54" s="330"/>
      <x:c r="I54" s="330"/>
      <x:c r="J54" s="328"/>
      <x:c r="K54" s="328"/>
      <x:c r="L54" s="331"/>
      <x:c r="M54" s="329"/>
      <x:c r="N54" s="328"/>
      <x:c r="O54" s="328"/>
      <x:c r="P54" s="328" t="str">
        <x:f>IF(H54="","",IF(I54&lt;&gt;"",MAX(0,I54-H54),IF(TODAY()&gt;H54,TODAY()-H54,0)))</x:f>
      </x:c>
      <x:c r="Q54" s="332"/>
    </x:row>
    <x:row r="55">
      <x:c r="A55" s="327" t="n">
        <x:v>50</x:v>
      </x:c>
      <x:c r="B55" s="328"/>
      <x:c r="C55" s="328"/>
      <x:c r="D55" s="328"/>
      <x:c r="E55" s="328"/>
      <x:c r="F55" s="329"/>
      <x:c r="G55" s="330"/>
      <x:c r="H55" s="330"/>
      <x:c r="I55" s="330"/>
      <x:c r="J55" s="328"/>
      <x:c r="K55" s="328"/>
      <x:c r="L55" s="331"/>
      <x:c r="M55" s="329"/>
      <x:c r="N55" s="328"/>
      <x:c r="O55" s="328"/>
      <x:c r="P55" s="328" t="str">
        <x:f>IF(H55="","",IF(I55&lt;&gt;"",MAX(0,I55-H55),IF(TODAY()&gt;H55,TODAY()-H55,0)))</x:f>
      </x:c>
      <x:c r="Q55" s="332"/>
    </x:row>
    <x:row r="56">
      <x:c r="A56" s="327" t="n">
        <x:v>51</x:v>
      </x:c>
      <x:c r="B56" s="328"/>
      <x:c r="C56" s="328"/>
      <x:c r="D56" s="328"/>
      <x:c r="E56" s="328"/>
      <x:c r="F56" s="329"/>
      <x:c r="G56" s="330"/>
      <x:c r="H56" s="330"/>
      <x:c r="I56" s="330"/>
      <x:c r="J56" s="328"/>
      <x:c r="K56" s="328"/>
      <x:c r="L56" s="331"/>
      <x:c r="M56" s="329"/>
      <x:c r="N56" s="328"/>
      <x:c r="O56" s="328"/>
      <x:c r="P56" s="328" t="str">
        <x:f>IF(H56="","",IF(I56&lt;&gt;"",MAX(0,I56-H56),IF(TODAY()&gt;H56,TODAY()-H56,0)))</x:f>
      </x:c>
      <x:c r="Q56" s="332"/>
    </x:row>
    <x:row r="57">
      <x:c r="A57" s="327" t="n">
        <x:v>52</x:v>
      </x:c>
      <x:c r="B57" s="328"/>
      <x:c r="C57" s="328"/>
      <x:c r="D57" s="328"/>
      <x:c r="E57" s="328"/>
      <x:c r="F57" s="329"/>
      <x:c r="G57" s="330"/>
      <x:c r="H57" s="330"/>
      <x:c r="I57" s="330"/>
      <x:c r="J57" s="328"/>
      <x:c r="K57" s="328"/>
      <x:c r="L57" s="331"/>
      <x:c r="M57" s="329"/>
      <x:c r="N57" s="328"/>
      <x:c r="O57" s="328"/>
      <x:c r="P57" s="328" t="str">
        <x:f>IF(H57="","",IF(I57&lt;&gt;"",MAX(0,I57-H57),IF(TODAY()&gt;H57,TODAY()-H57,0)))</x:f>
      </x:c>
      <x:c r="Q57" s="332"/>
    </x:row>
    <x:row r="58">
      <x:c r="A58" s="327" t="n">
        <x:v>53</x:v>
      </x:c>
      <x:c r="B58" s="328"/>
      <x:c r="C58" s="328"/>
      <x:c r="D58" s="328"/>
      <x:c r="E58" s="328"/>
      <x:c r="F58" s="329"/>
      <x:c r="G58" s="330"/>
      <x:c r="H58" s="330"/>
      <x:c r="I58" s="330"/>
      <x:c r="J58" s="328"/>
      <x:c r="K58" s="328"/>
      <x:c r="L58" s="331"/>
      <x:c r="M58" s="329"/>
      <x:c r="N58" s="328"/>
      <x:c r="O58" s="328"/>
      <x:c r="P58" s="328" t="str">
        <x:f>IF(H58="","",IF(I58&lt;&gt;"",MAX(0,I58-H58),IF(TODAY()&gt;H58,TODAY()-H58,0)))</x:f>
      </x:c>
      <x:c r="Q58" s="332"/>
    </x:row>
    <x:row r="59">
      <x:c r="A59" s="327" t="n">
        <x:v>54</x:v>
      </x:c>
      <x:c r="B59" s="328"/>
      <x:c r="C59" s="328"/>
      <x:c r="D59" s="328"/>
      <x:c r="E59" s="328"/>
      <x:c r="F59" s="329"/>
      <x:c r="G59" s="330"/>
      <x:c r="H59" s="330"/>
      <x:c r="I59" s="330"/>
      <x:c r="J59" s="328"/>
      <x:c r="K59" s="328"/>
      <x:c r="L59" s="331"/>
      <x:c r="M59" s="329"/>
      <x:c r="N59" s="328"/>
      <x:c r="O59" s="328"/>
      <x:c r="P59" s="328" t="str">
        <x:f>IF(H59="","",IF(I59&lt;&gt;"",MAX(0,I59-H59),IF(TODAY()&gt;H59,TODAY()-H59,0)))</x:f>
      </x:c>
      <x:c r="Q59" s="332"/>
    </x:row>
    <x:row r="60">
      <x:c r="A60" s="327" t="n">
        <x:v>55</x:v>
      </x:c>
      <x:c r="B60" s="328"/>
      <x:c r="C60" s="328"/>
      <x:c r="D60" s="328"/>
      <x:c r="E60" s="328"/>
      <x:c r="F60" s="329"/>
      <x:c r="G60" s="330"/>
      <x:c r="H60" s="330"/>
      <x:c r="I60" s="330"/>
      <x:c r="J60" s="328"/>
      <x:c r="K60" s="328"/>
      <x:c r="L60" s="331"/>
      <x:c r="M60" s="329"/>
      <x:c r="N60" s="328"/>
      <x:c r="O60" s="328"/>
      <x:c r="P60" s="328" t="str">
        <x:f>IF(H60="","",IF(I60&lt;&gt;"",MAX(0,I60-H60),IF(TODAY()&gt;H60,TODAY()-H60,0)))</x:f>
      </x:c>
      <x:c r="Q60" s="332"/>
    </x:row>
    <x:row r="61">
      <x:c r="A61" s="327" t="n">
        <x:v>56</x:v>
      </x:c>
      <x:c r="B61" s="328"/>
      <x:c r="C61" s="328"/>
      <x:c r="D61" s="328"/>
      <x:c r="E61" s="328"/>
      <x:c r="F61" s="329"/>
      <x:c r="G61" s="330"/>
      <x:c r="H61" s="330"/>
      <x:c r="I61" s="330"/>
      <x:c r="J61" s="328"/>
      <x:c r="K61" s="328"/>
      <x:c r="L61" s="331"/>
      <x:c r="M61" s="329"/>
      <x:c r="N61" s="328"/>
      <x:c r="O61" s="328"/>
      <x:c r="P61" s="328" t="str">
        <x:f>IF(H61="","",IF(I61&lt;&gt;"",MAX(0,I61-H61),IF(TODAY()&gt;H61,TODAY()-H61,0)))</x:f>
      </x:c>
      <x:c r="Q61" s="332"/>
    </x:row>
    <x:row r="62">
      <x:c r="A62" s="327" t="n">
        <x:v>57</x:v>
      </x:c>
      <x:c r="B62" s="328"/>
      <x:c r="C62" s="328"/>
      <x:c r="D62" s="328"/>
      <x:c r="E62" s="328"/>
      <x:c r="F62" s="329"/>
      <x:c r="G62" s="330"/>
      <x:c r="H62" s="330"/>
      <x:c r="I62" s="330"/>
      <x:c r="J62" s="328"/>
      <x:c r="K62" s="328"/>
      <x:c r="L62" s="331"/>
      <x:c r="M62" s="329"/>
      <x:c r="N62" s="328"/>
      <x:c r="O62" s="328"/>
      <x:c r="P62" s="328" t="str">
        <x:f>IF(H62="","",IF(I62&lt;&gt;"",MAX(0,I62-H62),IF(TODAY()&gt;H62,TODAY()-H62,0)))</x:f>
      </x:c>
      <x:c r="Q62" s="332"/>
    </x:row>
    <x:row r="63">
      <x:c r="A63" s="327" t="n">
        <x:v>58</x:v>
      </x:c>
      <x:c r="B63" s="328"/>
      <x:c r="C63" s="328"/>
      <x:c r="D63" s="328"/>
      <x:c r="E63" s="328"/>
      <x:c r="F63" s="329"/>
      <x:c r="G63" s="330"/>
      <x:c r="H63" s="330"/>
      <x:c r="I63" s="330"/>
      <x:c r="J63" s="328"/>
      <x:c r="K63" s="328"/>
      <x:c r="L63" s="331"/>
      <x:c r="M63" s="329"/>
      <x:c r="N63" s="328"/>
      <x:c r="O63" s="328"/>
      <x:c r="P63" s="328" t="str">
        <x:f>IF(H63="","",IF(I63&lt;&gt;"",MAX(0,I63-H63),IF(TODAY()&gt;H63,TODAY()-H63,0)))</x:f>
      </x:c>
      <x:c r="Q63" s="332"/>
    </x:row>
    <x:row r="64">
      <x:c r="A64" s="327" t="n">
        <x:v>59</x:v>
      </x:c>
      <x:c r="B64" s="328"/>
      <x:c r="C64" s="328"/>
      <x:c r="D64" s="328"/>
      <x:c r="E64" s="328"/>
      <x:c r="F64" s="329"/>
      <x:c r="G64" s="330"/>
      <x:c r="H64" s="330"/>
      <x:c r="I64" s="330"/>
      <x:c r="J64" s="328"/>
      <x:c r="K64" s="328"/>
      <x:c r="L64" s="331"/>
      <x:c r="M64" s="329"/>
      <x:c r="N64" s="328"/>
      <x:c r="O64" s="328"/>
      <x:c r="P64" s="328" t="str">
        <x:f>IF(H64="","",IF(I64&lt;&gt;"",MAX(0,I64-H64),IF(TODAY()&gt;H64,TODAY()-H64,0)))</x:f>
      </x:c>
      <x:c r="Q64" s="332"/>
    </x:row>
    <x:row r="65">
      <x:c r="A65" s="333" t="n">
        <x:v>60</x:v>
      </x:c>
      <x:c r="B65" s="334"/>
      <x:c r="C65" s="334"/>
      <x:c r="D65" s="334"/>
      <x:c r="E65" s="334"/>
      <x:c r="F65" s="335"/>
      <x:c r="G65" s="336"/>
      <x:c r="H65" s="336"/>
      <x:c r="I65" s="336"/>
      <x:c r="J65" s="334"/>
      <x:c r="K65" s="334"/>
      <x:c r="L65" s="337"/>
      <x:c r="M65" s="335"/>
      <x:c r="N65" s="334"/>
      <x:c r="O65" s="334"/>
      <x:c r="P65" s="334" t="str">
        <x:f>IF(H65="","",IF(I65&lt;&gt;"",MAX(0,I65-H65),IF(TODAY()&gt;H65,TODAY()-H65,0)))</x:f>
      </x:c>
      <x:c r="Q65" s="338"/>
    </x:row>
  </x:sheetData>
  <x:mergeCells>
    <x:mergeCell ref="A1:Q1"/>
    <x:mergeCell ref="A2:Q2"/>
    <x:mergeCell ref="A3:Q3"/>
  </x:mergeCells>
  <x:conditionalFormatting sqref="K6:K65">
    <x:cfRule type="expression" dxfId="0" priority="1">
      <x:formula>K6="បានបញ្ចប់"</x:formula>
    </x:cfRule>
    <x:cfRule type="expression" dxfId="1" priority="2">
      <x:formula>K6="កំពុងធ្វើ"</x:formula>
    </x:cfRule>
    <x:cfRule type="expression" dxfId="2" priority="3">
      <x:formula>K6="គ្រោង"</x:formula>
    </x:cfRule>
    <x:cfRule type="expression" dxfId="3" priority="4">
      <x:formula>K6="យឺតយ៉ាវ"</x:formula>
    </x:cfRule>
  </x:conditionalFormatting>
  <x:conditionalFormatting sqref="H6:H65">
    <x:cfRule type="expression" dxfId="4" priority="5">
      <x:formula>AND(H6&lt;&gt;"",H6&gt;DATE(2026,12,1))</x:formula>
    </x:cfRule>
  </x:conditionalFormatting>
  <x:dataValidations count="4">
    <x:dataValidation type="list" sqref="K6:K65">
      <x:formula1>"បានបញ្ចប់,កំពុងធ្វើ,គ្រោង,យឺតយ៉ាវ,ផ្អាក"</x:formula1>
    </x:dataValidation>
    <x:dataValidation type="list" sqref="J6:J65">
      <x:formula1>"បន្ទាន់,ខ្ពស់,មធ្យម,ទាប,—"</x:formula1>
    </x:dataValidation>
    <x:dataValidation operator="between" sqref="L6:L65">
      <x:formula1>0</x:formula1>
      <x:formula2>100</x:formula2>
    </x:dataValidation>
    <x:dataValidation operator="between" sqref="O6:O65">
      <x:formula1>0</x:formula1>
      <x:formula2>100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3" hidden="0" customWidth="1"/>
    <x:col min="3" max="3" width="9" hidden="0" customWidth="1"/>
    <x:col min="4" max="4" width="28" hidden="0" customWidth="1"/>
    <x:col min="5" max="5" width="28" hidden="0" customWidth="1"/>
    <x:col min="6" max="6" width="18" hidden="0" customWidth="1"/>
    <x:col min="7" max="7" width="40" hidden="0" customWidth="1"/>
    <x:col min="8" max="8" width="36" hidden="0" customWidth="1"/>
    <x:col min="9" max="9" width="20" hidden="0" customWidth="1"/>
    <x:col min="10" max="10" width="13" hidden="0" customWidth="1"/>
    <x:col min="11" max="11" width="13" hidden="0" customWidth="1"/>
    <x:col min="12" max="12" width="32" hidden="0" customWidth="1"/>
    <x:col min="13" max="13" width="30" hidden="0" customWidth="1"/>
  </x:cols>
  <x:sheetData>
    <x:row r="1" ht="28" customHeight="1">
      <x:c r="A1" s="5" t="str">
        <x:v>កំណត់ហេតុប្រជុំ ការចូលរួម និងសកម្មភាពរបស់ក្រុម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13" t="str">
        <x:v>កំណត់ត្រាកិច្ចប្រជុំ និងការចូលរួម — ប្រព័ន្ធគ្រប់គ្រងលិខិតអញ្ចើញឌីជីថល (E-Invitation) | 09-Sep-2026 ដល់ 01-Dec-2026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3">
      <x:c r="A3" s="22" t="str">
        <x:v>ប្រើសន្លឹកនេះសម្រាប់កត់ត្រាប្រជុំពិតប្រាកដ៖ អ្នកចូលរួម សេចក្តីសម្រេច Action Items អ្នកទទួលខុសត្រូវ Due Date និង Evidence។ មិនបានបង្កើត Attendance ក្លែងក្លាយជាមុនទេ។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</x:row>
    <x:row r="5" ht="34" customHeight="1">
      <x:c r="A5" s="184" t="str">
        <x:v>ល.រ</x:v>
      </x:c>
      <x:c r="B5" s="185" t="str">
        <x:v>កាលបរិច្ឆេទ</x:v>
      </x:c>
      <x:c r="C5" s="185" t="str">
        <x:v>សប្ដាហ៍</x:v>
      </x:c>
      <x:c r="D5" s="185" t="str">
        <x:v>ប្រធានបទប្រជុំ</x:v>
      </x:c>
      <x:c r="E5" s="185" t="str">
        <x:v>អ្នកចូលរួម</x:v>
      </x:c>
      <x:c r="F5" s="185" t="str">
        <x:v>អវត្តមាន/ច្បាប់</x:v>
      </x:c>
      <x:c r="G5" s="185" t="str">
        <x:v>សេចក្តីសម្រេចសំខាន់</x:v>
      </x:c>
      <x:c r="H5" s="185" t="str">
        <x:v>Action Items</x:v>
      </x:c>
      <x:c r="I5" s="185" t="str">
        <x:v>អ្នកទទួលខុសត្រូវ</x:v>
      </x:c>
      <x:c r="J5" s="185" t="str">
        <x:v>Due Date</x:v>
      </x:c>
      <x:c r="K5" s="185" t="str">
        <x:v>ស្ថានភាព</x:v>
      </x:c>
      <x:c r="L5" s="185" t="str">
        <x:v>Evidence / Link</x:v>
      </x:c>
      <x:c r="M5" s="186" t="str">
        <x:v>កំណត់សម្គាល់</x:v>
      </x:c>
    </x:row>
    <x:row r="6" ht="30" customHeight="1">
      <x:c r="A6" s="63" t="n">
        <x:v>1</x:v>
      </x:c>
      <x:c r="B6" s="64"/>
      <x:c r="C6" s="66"/>
      <x:c r="D6" s="66"/>
      <x:c r="E6" s="66"/>
      <x:c r="F6" s="66"/>
      <x:c r="G6" s="66"/>
      <x:c r="H6" s="66"/>
      <x:c r="I6" s="66"/>
      <x:c r="J6" s="64"/>
      <x:c r="K6" s="66"/>
      <x:c r="L6" s="66"/>
      <x:c r="M6" s="116"/>
    </x:row>
    <x:row r="7" ht="30" customHeight="1">
      <x:c r="A7" s="63" t="n">
        <x:v>2</x:v>
      </x:c>
      <x:c r="B7" s="64"/>
      <x:c r="C7" s="66"/>
      <x:c r="D7" s="66"/>
      <x:c r="E7" s="66"/>
      <x:c r="F7" s="66"/>
      <x:c r="G7" s="66"/>
      <x:c r="H7" s="66"/>
      <x:c r="I7" s="66"/>
      <x:c r="J7" s="64"/>
      <x:c r="K7" s="66"/>
      <x:c r="L7" s="66"/>
      <x:c r="M7" s="116"/>
    </x:row>
    <x:row r="8" ht="30" customHeight="1">
      <x:c r="A8" s="63" t="n">
        <x:v>3</x:v>
      </x:c>
      <x:c r="B8" s="64"/>
      <x:c r="C8" s="66"/>
      <x:c r="D8" s="66"/>
      <x:c r="E8" s="66"/>
      <x:c r="F8" s="66"/>
      <x:c r="G8" s="66"/>
      <x:c r="H8" s="66"/>
      <x:c r="I8" s="66"/>
      <x:c r="J8" s="64"/>
      <x:c r="K8" s="66"/>
      <x:c r="L8" s="66"/>
      <x:c r="M8" s="116"/>
    </x:row>
    <x:row r="9" ht="30" customHeight="1">
      <x:c r="A9" s="63" t="n">
        <x:v>4</x:v>
      </x:c>
      <x:c r="B9" s="64"/>
      <x:c r="C9" s="66"/>
      <x:c r="D9" s="66"/>
      <x:c r="E9" s="66"/>
      <x:c r="F9" s="66"/>
      <x:c r="G9" s="66"/>
      <x:c r="H9" s="66"/>
      <x:c r="I9" s="66"/>
      <x:c r="J9" s="64"/>
      <x:c r="K9" s="66"/>
      <x:c r="L9" s="66"/>
      <x:c r="M9" s="116"/>
    </x:row>
    <x:row r="10" ht="30" customHeight="1">
      <x:c r="A10" s="63" t="n">
        <x:v>5</x:v>
      </x:c>
      <x:c r="B10" s="64"/>
      <x:c r="C10" s="66"/>
      <x:c r="D10" s="66"/>
      <x:c r="E10" s="66"/>
      <x:c r="F10" s="66"/>
      <x:c r="G10" s="66"/>
      <x:c r="H10" s="66"/>
      <x:c r="I10" s="66"/>
      <x:c r="J10" s="64"/>
      <x:c r="K10" s="66"/>
      <x:c r="L10" s="66"/>
      <x:c r="M10" s="116"/>
    </x:row>
    <x:row r="11" ht="30" customHeight="1">
      <x:c r="A11" s="63" t="n">
        <x:v>6</x:v>
      </x:c>
      <x:c r="B11" s="64"/>
      <x:c r="C11" s="66"/>
      <x:c r="D11" s="66"/>
      <x:c r="E11" s="66"/>
      <x:c r="F11" s="66"/>
      <x:c r="G11" s="66"/>
      <x:c r="H11" s="66"/>
      <x:c r="I11" s="66"/>
      <x:c r="J11" s="64"/>
      <x:c r="K11" s="66"/>
      <x:c r="L11" s="66"/>
      <x:c r="M11" s="116"/>
    </x:row>
    <x:row r="12" ht="30" customHeight="1">
      <x:c r="A12" s="63" t="n">
        <x:v>7</x:v>
      </x:c>
      <x:c r="B12" s="64"/>
      <x:c r="C12" s="66"/>
      <x:c r="D12" s="66"/>
      <x:c r="E12" s="66"/>
      <x:c r="F12" s="66"/>
      <x:c r="G12" s="66"/>
      <x:c r="H12" s="66"/>
      <x:c r="I12" s="66"/>
      <x:c r="J12" s="64"/>
      <x:c r="K12" s="66"/>
      <x:c r="L12" s="66"/>
      <x:c r="M12" s="116"/>
    </x:row>
    <x:row r="13" ht="30" customHeight="1">
      <x:c r="A13" s="63" t="n">
        <x:v>8</x:v>
      </x:c>
      <x:c r="B13" s="64"/>
      <x:c r="C13" s="66"/>
      <x:c r="D13" s="66"/>
      <x:c r="E13" s="66"/>
      <x:c r="F13" s="66"/>
      <x:c r="G13" s="66"/>
      <x:c r="H13" s="66"/>
      <x:c r="I13" s="66"/>
      <x:c r="J13" s="64"/>
      <x:c r="K13" s="66"/>
      <x:c r="L13" s="66"/>
      <x:c r="M13" s="116"/>
    </x:row>
    <x:row r="14" ht="30" customHeight="1">
      <x:c r="A14" s="63" t="n">
        <x:v>9</x:v>
      </x:c>
      <x:c r="B14" s="64"/>
      <x:c r="C14" s="66"/>
      <x:c r="D14" s="66"/>
      <x:c r="E14" s="66"/>
      <x:c r="F14" s="66"/>
      <x:c r="G14" s="66"/>
      <x:c r="H14" s="66"/>
      <x:c r="I14" s="66"/>
      <x:c r="J14" s="64"/>
      <x:c r="K14" s="66"/>
      <x:c r="L14" s="66"/>
      <x:c r="M14" s="116"/>
    </x:row>
    <x:row r="15" ht="30" customHeight="1">
      <x:c r="A15" s="63" t="n">
        <x:v>10</x:v>
      </x:c>
      <x:c r="B15" s="64"/>
      <x:c r="C15" s="66"/>
      <x:c r="D15" s="66"/>
      <x:c r="E15" s="66"/>
      <x:c r="F15" s="66"/>
      <x:c r="G15" s="66"/>
      <x:c r="H15" s="66"/>
      <x:c r="I15" s="66"/>
      <x:c r="J15" s="64"/>
      <x:c r="K15" s="66"/>
      <x:c r="L15" s="66"/>
      <x:c r="M15" s="116"/>
    </x:row>
    <x:row r="16" ht="30" customHeight="1">
      <x:c r="A16" s="63" t="n">
        <x:v>11</x:v>
      </x:c>
      <x:c r="B16" s="64"/>
      <x:c r="C16" s="66"/>
      <x:c r="D16" s="66"/>
      <x:c r="E16" s="66"/>
      <x:c r="F16" s="66"/>
      <x:c r="G16" s="66"/>
      <x:c r="H16" s="66"/>
      <x:c r="I16" s="66"/>
      <x:c r="J16" s="64"/>
      <x:c r="K16" s="66"/>
      <x:c r="L16" s="66"/>
      <x:c r="M16" s="116"/>
    </x:row>
    <x:row r="17" ht="30" customHeight="1">
      <x:c r="A17" s="63" t="n">
        <x:v>12</x:v>
      </x:c>
      <x:c r="B17" s="64"/>
      <x:c r="C17" s="66"/>
      <x:c r="D17" s="66"/>
      <x:c r="E17" s="66"/>
      <x:c r="F17" s="66"/>
      <x:c r="G17" s="66"/>
      <x:c r="H17" s="66"/>
      <x:c r="I17" s="66"/>
      <x:c r="J17" s="64"/>
      <x:c r="K17" s="66"/>
      <x:c r="L17" s="66"/>
      <x:c r="M17" s="116"/>
    </x:row>
    <x:row r="18" ht="30" customHeight="1">
      <x:c r="A18" s="63" t="n">
        <x:v>13</x:v>
      </x:c>
      <x:c r="B18" s="64"/>
      <x:c r="C18" s="66"/>
      <x:c r="D18" s="66"/>
      <x:c r="E18" s="66"/>
      <x:c r="F18" s="66"/>
      <x:c r="G18" s="66"/>
      <x:c r="H18" s="66"/>
      <x:c r="I18" s="66"/>
      <x:c r="J18" s="64"/>
      <x:c r="K18" s="66"/>
      <x:c r="L18" s="66"/>
      <x:c r="M18" s="116"/>
    </x:row>
    <x:row r="19" ht="30" customHeight="1">
      <x:c r="A19" s="63" t="n">
        <x:v>14</x:v>
      </x:c>
      <x:c r="B19" s="64"/>
      <x:c r="C19" s="66"/>
      <x:c r="D19" s="66"/>
      <x:c r="E19" s="66"/>
      <x:c r="F19" s="66"/>
      <x:c r="G19" s="66"/>
      <x:c r="H19" s="66"/>
      <x:c r="I19" s="66"/>
      <x:c r="J19" s="64"/>
      <x:c r="K19" s="66"/>
      <x:c r="L19" s="66"/>
      <x:c r="M19" s="116"/>
    </x:row>
    <x:row r="20" ht="30" customHeight="1">
      <x:c r="A20" s="63" t="n">
        <x:v>15</x:v>
      </x:c>
      <x:c r="B20" s="64"/>
      <x:c r="C20" s="66"/>
      <x:c r="D20" s="66"/>
      <x:c r="E20" s="66"/>
      <x:c r="F20" s="66"/>
      <x:c r="G20" s="66"/>
      <x:c r="H20" s="66"/>
      <x:c r="I20" s="66"/>
      <x:c r="J20" s="64"/>
      <x:c r="K20" s="66"/>
      <x:c r="L20" s="66"/>
      <x:c r="M20" s="116"/>
    </x:row>
    <x:row r="21" ht="30" customHeight="1">
      <x:c r="A21" s="63" t="n">
        <x:v>16</x:v>
      </x:c>
      <x:c r="B21" s="64"/>
      <x:c r="C21" s="66"/>
      <x:c r="D21" s="66"/>
      <x:c r="E21" s="66"/>
      <x:c r="F21" s="66"/>
      <x:c r="G21" s="66"/>
      <x:c r="H21" s="66"/>
      <x:c r="I21" s="66"/>
      <x:c r="J21" s="64"/>
      <x:c r="K21" s="66"/>
      <x:c r="L21" s="66"/>
      <x:c r="M21" s="116"/>
    </x:row>
    <x:row r="22" ht="30" customHeight="1">
      <x:c r="A22" s="63" t="n">
        <x:v>17</x:v>
      </x:c>
      <x:c r="B22" s="64"/>
      <x:c r="C22" s="66"/>
      <x:c r="D22" s="66"/>
      <x:c r="E22" s="66"/>
      <x:c r="F22" s="66"/>
      <x:c r="G22" s="66"/>
      <x:c r="H22" s="66"/>
      <x:c r="I22" s="66"/>
      <x:c r="J22" s="64"/>
      <x:c r="K22" s="66"/>
      <x:c r="L22" s="66"/>
      <x:c r="M22" s="116"/>
    </x:row>
    <x:row r="23" ht="30" customHeight="1">
      <x:c r="A23" s="63" t="n">
        <x:v>18</x:v>
      </x:c>
      <x:c r="B23" s="64"/>
      <x:c r="C23" s="66"/>
      <x:c r="D23" s="66"/>
      <x:c r="E23" s="66"/>
      <x:c r="F23" s="66"/>
      <x:c r="G23" s="66"/>
      <x:c r="H23" s="66"/>
      <x:c r="I23" s="66"/>
      <x:c r="J23" s="64"/>
      <x:c r="K23" s="66"/>
      <x:c r="L23" s="66"/>
      <x:c r="M23" s="116"/>
    </x:row>
    <x:row r="24" ht="30" customHeight="1">
      <x:c r="A24" s="63" t="n">
        <x:v>19</x:v>
      </x:c>
      <x:c r="B24" s="64"/>
      <x:c r="C24" s="66"/>
      <x:c r="D24" s="66"/>
      <x:c r="E24" s="66"/>
      <x:c r="F24" s="66"/>
      <x:c r="G24" s="66"/>
      <x:c r="H24" s="66"/>
      <x:c r="I24" s="66"/>
      <x:c r="J24" s="64"/>
      <x:c r="K24" s="66"/>
      <x:c r="L24" s="66"/>
      <x:c r="M24" s="116"/>
    </x:row>
    <x:row r="25" ht="30" customHeight="1">
      <x:c r="A25" s="63" t="n">
        <x:v>20</x:v>
      </x:c>
      <x:c r="B25" s="64"/>
      <x:c r="C25" s="66"/>
      <x:c r="D25" s="66"/>
      <x:c r="E25" s="66"/>
      <x:c r="F25" s="66"/>
      <x:c r="G25" s="66"/>
      <x:c r="H25" s="66"/>
      <x:c r="I25" s="66"/>
      <x:c r="J25" s="64"/>
      <x:c r="K25" s="66"/>
      <x:c r="L25" s="66"/>
      <x:c r="M25" s="116"/>
    </x:row>
    <x:row r="26" ht="30" customHeight="1">
      <x:c r="A26" s="63" t="n">
        <x:v>21</x:v>
      </x:c>
      <x:c r="B26" s="64"/>
      <x:c r="C26" s="66"/>
      <x:c r="D26" s="66"/>
      <x:c r="E26" s="66"/>
      <x:c r="F26" s="66"/>
      <x:c r="G26" s="66"/>
      <x:c r="H26" s="66"/>
      <x:c r="I26" s="66"/>
      <x:c r="J26" s="64"/>
      <x:c r="K26" s="66"/>
      <x:c r="L26" s="66"/>
      <x:c r="M26" s="116"/>
    </x:row>
    <x:row r="27" ht="30" customHeight="1">
      <x:c r="A27" s="63" t="n">
        <x:v>22</x:v>
      </x:c>
      <x:c r="B27" s="64"/>
      <x:c r="C27" s="66"/>
      <x:c r="D27" s="66"/>
      <x:c r="E27" s="66"/>
      <x:c r="F27" s="66"/>
      <x:c r="G27" s="66"/>
      <x:c r="H27" s="66"/>
      <x:c r="I27" s="66"/>
      <x:c r="J27" s="64"/>
      <x:c r="K27" s="66"/>
      <x:c r="L27" s="66"/>
      <x:c r="M27" s="116"/>
    </x:row>
    <x:row r="28" ht="30" customHeight="1">
      <x:c r="A28" s="63" t="n">
        <x:v>23</x:v>
      </x:c>
      <x:c r="B28" s="64"/>
      <x:c r="C28" s="66"/>
      <x:c r="D28" s="66"/>
      <x:c r="E28" s="66"/>
      <x:c r="F28" s="66"/>
      <x:c r="G28" s="66"/>
      <x:c r="H28" s="66"/>
      <x:c r="I28" s="66"/>
      <x:c r="J28" s="64"/>
      <x:c r="K28" s="66"/>
      <x:c r="L28" s="66"/>
      <x:c r="M28" s="116"/>
    </x:row>
    <x:row r="29" ht="30" customHeight="1">
      <x:c r="A29" s="63" t="n">
        <x:v>24</x:v>
      </x:c>
      <x:c r="B29" s="64"/>
      <x:c r="C29" s="66"/>
      <x:c r="D29" s="66"/>
      <x:c r="E29" s="66"/>
      <x:c r="F29" s="66"/>
      <x:c r="G29" s="66"/>
      <x:c r="H29" s="66"/>
      <x:c r="I29" s="66"/>
      <x:c r="J29" s="64"/>
      <x:c r="K29" s="66"/>
      <x:c r="L29" s="66"/>
      <x:c r="M29" s="116"/>
    </x:row>
    <x:row r="30" ht="30" customHeight="1">
      <x:c r="A30" s="63" t="n">
        <x:v>25</x:v>
      </x:c>
      <x:c r="B30" s="64"/>
      <x:c r="C30" s="66"/>
      <x:c r="D30" s="66"/>
      <x:c r="E30" s="66"/>
      <x:c r="F30" s="66"/>
      <x:c r="G30" s="66"/>
      <x:c r="H30" s="66"/>
      <x:c r="I30" s="66"/>
      <x:c r="J30" s="64"/>
      <x:c r="K30" s="66"/>
      <x:c r="L30" s="66"/>
      <x:c r="M30" s="116"/>
    </x:row>
    <x:row r="31" ht="30" customHeight="1">
      <x:c r="A31" s="63" t="n">
        <x:v>26</x:v>
      </x:c>
      <x:c r="B31" s="64"/>
      <x:c r="C31" s="66"/>
      <x:c r="D31" s="66"/>
      <x:c r="E31" s="66"/>
      <x:c r="F31" s="66"/>
      <x:c r="G31" s="66"/>
      <x:c r="H31" s="66"/>
      <x:c r="I31" s="66"/>
      <x:c r="J31" s="64"/>
      <x:c r="K31" s="66"/>
      <x:c r="L31" s="66"/>
      <x:c r="M31" s="116"/>
    </x:row>
    <x:row r="32" ht="30" customHeight="1">
      <x:c r="A32" s="63" t="n">
        <x:v>27</x:v>
      </x:c>
      <x:c r="B32" s="64"/>
      <x:c r="C32" s="66"/>
      <x:c r="D32" s="66"/>
      <x:c r="E32" s="66"/>
      <x:c r="F32" s="66"/>
      <x:c r="G32" s="66"/>
      <x:c r="H32" s="66"/>
      <x:c r="I32" s="66"/>
      <x:c r="J32" s="64"/>
      <x:c r="K32" s="66"/>
      <x:c r="L32" s="66"/>
      <x:c r="M32" s="116"/>
    </x:row>
    <x:row r="33" ht="30" customHeight="1">
      <x:c r="A33" s="63" t="n">
        <x:v>28</x:v>
      </x:c>
      <x:c r="B33" s="64"/>
      <x:c r="C33" s="66"/>
      <x:c r="D33" s="66"/>
      <x:c r="E33" s="66"/>
      <x:c r="F33" s="66"/>
      <x:c r="G33" s="66"/>
      <x:c r="H33" s="66"/>
      <x:c r="I33" s="66"/>
      <x:c r="J33" s="64"/>
      <x:c r="K33" s="66"/>
      <x:c r="L33" s="66"/>
      <x:c r="M33" s="116"/>
    </x:row>
    <x:row r="34" ht="30" customHeight="1">
      <x:c r="A34" s="63" t="n">
        <x:v>29</x:v>
      </x:c>
      <x:c r="B34" s="64"/>
      <x:c r="C34" s="66"/>
      <x:c r="D34" s="66"/>
      <x:c r="E34" s="66"/>
      <x:c r="F34" s="66"/>
      <x:c r="G34" s="66"/>
      <x:c r="H34" s="66"/>
      <x:c r="I34" s="66"/>
      <x:c r="J34" s="64"/>
      <x:c r="K34" s="66"/>
      <x:c r="L34" s="66"/>
      <x:c r="M34" s="116"/>
    </x:row>
    <x:row r="35" ht="30" customHeight="1">
      <x:c r="A35" s="67" t="n">
        <x:v>30</x:v>
      </x:c>
      <x:c r="B35" s="354"/>
      <x:c r="C35" s="68"/>
      <x:c r="D35" s="68"/>
      <x:c r="E35" s="68"/>
      <x:c r="F35" s="68"/>
      <x:c r="G35" s="68"/>
      <x:c r="H35" s="68"/>
      <x:c r="I35" s="68"/>
      <x:c r="J35" s="354"/>
      <x:c r="K35" s="68"/>
      <x:c r="L35" s="68"/>
      <x:c r="M35" s="118"/>
    </x:row>
  </x:sheetData>
  <x:mergeCells>
    <x:mergeCell ref="A1:M1"/>
    <x:mergeCell ref="A2:M2"/>
    <x:mergeCell ref="A3:M3"/>
  </x:mergeCells>
  <x:dataValidations count="1">
    <x:dataValidation type="list" sqref="K6:K35">
      <x:formula1>"បានបញ្ចប់,កំពុងធ្វើ,គ្រោង,យឺតយ៉ាវ,ផ្អាក"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16" hidden="0" customWidth="1"/>
    <x:col min="4" max="4" width="28" hidden="0" customWidth="1"/>
    <x:col min="5" max="5" width="52" hidden="0" customWidth="1"/>
    <x:col min="6" max="6" width="22" hidden="0" customWidth="1"/>
    <x:col min="7" max="7" width="16" hidden="0" customWidth="1"/>
    <x:col min="8" max="8" width="52" hidden="0" customWidth="1"/>
  </x:cols>
  <x:sheetData>
    <x:row r="1" ht="30" customHeight="1">
      <x:c r="A1" s="5" t="str">
        <x:v>ប្រវត្តិការអភិវឌ្ឍគម្រោង និងសកម្មភាពសំខាន់ៗ</x:v>
      </x:c>
      <x:c r="B1" s="5"/>
      <x:c r="C1" s="5"/>
      <x:c r="D1" s="5"/>
      <x:c r="E1" s="5"/>
      <x:c r="F1" s="5"/>
      <x:c r="G1" s="5"/>
      <x:c r="H1" s="5"/>
    </x:row>
    <x:row r="2" ht="32" customHeight="1">
      <x:c r="A2" s="360" t="str">
        <x:v>ប្រព័ន្ធគ្រប់គ្រងលិខិតអញ្ចើញឌីជីថល (E-Invitation) — Consolidated Project History | បញ្ចប់គ្រប់ដំណើរការត្រឹម 01-Dec-2026</x:v>
      </x:c>
      <x:c r="B2" s="360"/>
      <x:c r="C2" s="360"/>
      <x:c r="D2" s="360"/>
      <x:c r="E2" s="360"/>
      <x:c r="F2" s="360"/>
      <x:c r="G2" s="360"/>
      <x:c r="H2" s="360"/>
    </x:row>
    <x:row r="4" ht="34" customHeight="1">
      <x:c r="A4" s="184" t="str">
        <x:v>ល.រ</x:v>
      </x:c>
      <x:c r="B4" s="185" t="str">
        <x:v>កាលបរិច្ឆេទ</x:v>
      </x:c>
      <x:c r="C4" s="185" t="str">
        <x:v>ប្រភេទ</x:v>
      </x:c>
      <x:c r="D4" s="185" t="str">
        <x:v>ដំណាក់កាល / ការងារ</x:v>
      </x:c>
      <x:c r="E4" s="185" t="str">
        <x:v>សេចក្ដីសង្ខេប</x:v>
      </x:c>
      <x:c r="F4" s="185" t="str">
        <x:v>អ្នកពាក់ព័ន្ធ</x:v>
      </x:c>
      <x:c r="G4" s="185" t="str">
        <x:v>ស្ថានភាព</x:v>
      </x:c>
      <x:c r="H4" s="186" t="str">
        <x:v>ភស្តុតាង / Reference</x:v>
      </x:c>
    </x:row>
    <x:row r="5" ht="38" customHeight="1">
      <x:c r="A5" s="370" t="n">
        <x:v>1</x:v>
      </x:c>
      <x:c r="B5" s="371" t="n">
        <x:v>46095</x:v>
      </x:c>
      <x:c r="C5" s="372" t="str">
        <x:v>Project Analysis</x:v>
      </x:c>
      <x:c r="D5" s="372" t="str">
        <x:v>System analysis, core features, DFD/ERD និង Security</x:v>
      </x:c>
      <x:c r="E5" s="372" t="str">
        <x:v>វិភាគគំរូ E-Invitation, កំណត់ Core Features, សិក្សា DFD/ERD, WAF និង Payment flow សម្រាប់ប្រព័ន្ធ។</x:v>
      </x:c>
      <x:c r="F5" s="372" t="str">
        <x:v>ក្រុមគម្រោង / Team Leader</x:v>
      </x:c>
      <x:c r="G5" s="386" t="str">
        <x:v>បានរៀបចំ</x:v>
      </x:c>
      <x:c r="H5" s="373" t="str">
        <x:v>Project chat history</x:v>
      </x:c>
    </x:row>
    <x:row r="6" ht="38" customHeight="1">
      <x:c r="A6" s="370" t="n">
        <x:v>2</x:v>
      </x:c>
      <x:c r="B6" s="371" t="n">
        <x:v>46148</x:v>
      </x:c>
      <x:c r="C6" s="372" t="str">
        <x:v>Project Setup</x:v>
      </x:c>
      <x:c r="D6" s="372" t="str">
        <x:v>រៀបចំ Technology Stack និង Project Structure</x:v>
      </x:c>
      <x:c r="E6" s="372" t="str">
        <x:v>Spring Boot + Maven, ReactJS/Vite, MySQL, FastAPI, Git និងការរៀបចំ backend/frontend structure។</x:v>
      </x:c>
      <x:c r="F6" s="372" t="str">
        <x:v>ក្រុមគម្រោង</x:v>
      </x:c>
      <x:c r="G6" s="386" t="str">
        <x:v>បានរៀបចំ</x:v>
      </x:c>
      <x:c r="H6" s="373" t="str">
        <x:v>Project chat history</x:v>
      </x:c>
    </x:row>
    <x:row r="7" ht="38" customHeight="1">
      <x:c r="A7" s="370" t="n">
        <x:v>3</x:v>
      </x:c>
      <x:c r="B7" s="371" t="n">
        <x:v>46154</x:v>
      </x:c>
      <x:c r="C7" s="372" t="str">
        <x:v>Configuration</x:v>
      </x:c>
      <x:c r="D7" s="372" t="str">
        <x:v>.env និង Google OAuth</x:v>
      </x:c>
      <x:c r="E7" s="372" t="str">
        <x:v>រៀបចំ environment variables និង OAuth client configuration សម្រាប់ authentication។</x:v>
      </x:c>
      <x:c r="F7" s="372" t="str">
        <x:v>ក្រុមគម្រោង</x:v>
      </x:c>
      <x:c r="G7" s="386" t="str">
        <x:v>បានរៀបចំ</x:v>
      </x:c>
      <x:c r="H7" s="373" t="str">
        <x:v>Project chat history</x:v>
      </x:c>
    </x:row>
    <x:row r="8" ht="38" customHeight="1">
      <x:c r="A8" s="370" t="n">
        <x:v>4</x:v>
      </x:c>
      <x:c r="B8" s="371" t="n">
        <x:v>46157</x:v>
      </x:c>
      <x:c r="C8" s="372" t="str">
        <x:v>Payment Design</x:v>
      </x:c>
      <x:c r="D8" s="372" t="str">
        <x:v>ABA PayWay + Telegram confirmation</x:v>
      </x:c>
      <x:c r="E8" s="372" t="str">
        <x:v>រចនា static ABA PayWay link, QR/deeplink និង semi-automatic Telegram payment confirmation ដោយមាន Order/User/Template evidence។</x:v>
      </x:c>
      <x:c r="F8" s="372" t="str">
        <x:v>Team Leader</x:v>
      </x:c>
      <x:c r="G8" s="386" t="str">
        <x:v>បានរៀបចំ</x:v>
      </x:c>
      <x:c r="H8" s="373" t="str">
        <x:v>Project chat history</x:v>
      </x:c>
    </x:row>
    <x:row r="9" ht="38" customHeight="1">
      <x:c r="A9" s="370" t="n">
        <x:v>5</x:v>
      </x:c>
      <x:c r="B9" s="371" t="n">
        <x:v>46162</x:v>
      </x:c>
      <x:c r="C9" s="372" t="str">
        <x:v>Database</x:v>
      </x:c>
      <x:c r="D9" s="372" t="str">
        <x:v>ERD និង Relational Design</x:v>
      </x:c>
      <x:c r="E9" s="372" t="str">
        <x:v>រៀបចំ users, templates, invitations, sections, media, guests, RSVP, payments និង relationship សម្រាប់ MySQL/Flyway។</x:v>
      </x:c>
      <x:c r="F9" s="372" t="str">
        <x:v>ក្រុមគម្រោង</x:v>
      </x:c>
      <x:c r="G9" s="386" t="str">
        <x:v>បានរៀបចំ</x:v>
      </x:c>
      <x:c r="H9" s="373" t="str">
        <x:v>Project chat history</x:v>
      </x:c>
    </x:row>
    <x:row r="10" ht="38" customHeight="1">
      <x:c r="A10" s="370" t="n">
        <x:v>6</x:v>
      </x:c>
      <x:c r="B10" s="371" t="n">
        <x:v>46168</x:v>
      </x:c>
      <x:c r="C10" s="372" t="str">
        <x:v>AI / Feature Planning</x:v>
      </x:c>
      <x:c r="D10" s="372" t="str">
        <x:v>AI integration និង Payment/Media implementation planning</x:v>
      </x:c>
      <x:c r="E10" s="372" t="str">
        <x:v>ពិភាក្សាការរួមបញ្ចូល AI/ML និងរៀបចំ implementation plan សម្រាប់ media និង template payment flow។</x:v>
      </x:c>
      <x:c r="F10" s="372" t="str">
        <x:v>Team Leader</x:v>
      </x:c>
      <x:c r="G10" s="386" t="str">
        <x:v>បានរៀបចំ</x:v>
      </x:c>
      <x:c r="H10" s="373" t="str">
        <x:v>Project chat history</x:v>
      </x:c>
    </x:row>
    <x:row r="11" ht="38" customHeight="1">
      <x:c r="A11" s="370" t="n">
        <x:v>7</x:v>
      </x:c>
      <x:c r="B11" s="371" t="n">
        <x:v>46168</x:v>
      </x:c>
      <x:c r="C11" s="372" t="str">
        <x:v>GitHub PR</x:v>
      </x:c>
      <x:c r="D11" s="372" t="str">
        <x:v>Media + Template Payment Flow</x:v>
      </x:c>
      <x:c r="E11" s="372" t="str">
        <x:v>បន្ថែម media management, storage abstraction, media API/Flyway, static ABA payment, admin confirmation, frontend checkout និង Telegram bot។</x:v>
      </x:c>
      <x:c r="F11" s="372" t="str">
        <x:v>កឿង វីរៈ</x:v>
      </x:c>
      <x:c r="G11" s="388" t="str">
        <x:v>បានបញ្ចប់</x:v>
      </x:c>
      <x:c r="H11" s="373" t="str">
        <x:v>https://github.com/Ny-Panha/Koupreng-invitation_project/pull/2</x:v>
      </x:c>
    </x:row>
    <x:row r="12" ht="38" customHeight="1">
      <x:c r="A12" s="370" t="n">
        <x:v>8</x:v>
      </x:c>
      <x:c r="B12" s="371" t="n">
        <x:v>46176</x:v>
      </x:c>
      <x:c r="C12" s="372" t="str">
        <x:v>GitHub PR</x:v>
      </x:c>
      <x:c r="D12" s="372" t="str">
        <x:v>Resolve Payment Conflict Flows</x:v>
      </x:c>
      <x:c r="E12" s="372" t="str">
        <x:v>រក្សា dynamic ABA QR និងបន្ថែម static ABA/Telegram flow ជាមួយ backend security/testing។</x:v>
      </x:c>
      <x:c r="F12" s="372" t="str">
        <x:v>កឿង វីរៈ</x:v>
      </x:c>
      <x:c r="G12" s="388" t="str">
        <x:v>បានបញ្ចប់</x:v>
      </x:c>
      <x:c r="H12" s="373" t="str">
        <x:v>https://github.com/Ny-Panha/Koupreng-invitation_project/pull/3</x:v>
      </x:c>
    </x:row>
    <x:row r="13" ht="38" customHeight="1">
      <x:c r="A13" s="370" t="n">
        <x:v>9</x:v>
      </x:c>
      <x:c r="B13" s="371" t="n">
        <x:v>46179</x:v>
      </x:c>
      <x:c r="C13" s="372" t="str">
        <x:v>Integration</x:v>
      </x:c>
      <x:c r="D13" s="372" t="str">
        <x:v>Frontend ↔ Backend + Flyway cleanup</x:v>
      </x:c>
      <x:c r="E13" s="372" t="str">
        <x:v>រៀបចំការតភ្ជាប់ ReactJS និង Spring Boot និងសម្អាត database/entity/Flyway structure ដើម្បីរក្សា UI/UX របស់ក្រុម។</x:v>
      </x:c>
      <x:c r="F13" s="372" t="str">
        <x:v>ក្រុមគម្រោង</x:v>
      </x:c>
      <x:c r="G13" s="386" t="str">
        <x:v>បានរៀបចំ</x:v>
      </x:c>
      <x:c r="H13" s="373" t="str">
        <x:v>Project chat history</x:v>
      </x:c>
    </x:row>
    <x:row r="14" ht="38" customHeight="1">
      <x:c r="A14" s="370" t="n">
        <x:v>10</x:v>
      </x:c>
      <x:c r="B14" s="371" t="n">
        <x:v>46182</x:v>
      </x:c>
      <x:c r="C14" s="372" t="str">
        <x:v>GitHub PR</x:v>
      </x:c>
      <x:c r="D14" s="372" t="str">
        <x:v>Account/Payment/Budget Hardening</x:v>
      </x:c>
      <x:c r="E14" s="372" t="str">
        <x:v>Stabilization, forward-only Flyway migration, static ABA safety, internal payment secret, auth/account/budget validation និង merge conflict cleanup។</x:v>
      </x:c>
      <x:c r="F14" s="372" t="str">
        <x:v>កឿង វីរៈ</x:v>
      </x:c>
      <x:c r="G14" s="388" t="str">
        <x:v>បានបញ្ចប់</x:v>
      </x:c>
      <x:c r="H14" s="373" t="str">
        <x:v>https://github.com/Ny-Panha/Koupreng-invitation_project/pull/4</x:v>
      </x:c>
    </x:row>
    <x:row r="15" ht="38" customHeight="1">
      <x:c r="A15" s="370" t="n">
        <x:v>11</x:v>
      </x:c>
      <x:c r="B15" s="371" t="n">
        <x:v>46182</x:v>
      </x:c>
      <x:c r="C15" s="372" t="str">
        <x:v>QA / Security</x:v>
      </x:c>
      <x:c r="D15" s="372" t="str">
        <x:v>Post-merge QA + Security Hardening</x:v>
      </x:c>
      <x:c r="E15" s="372" t="str">
        <x:v>QA audit tooling, admin login route, CSV/audit IP hardening និង browser smoke support។</x:v>
      </x:c>
      <x:c r="F15" s="372" t="str">
        <x:v>កឿង វីរៈ</x:v>
      </x:c>
      <x:c r="G15" s="388" t="str">
        <x:v>បានបញ្ចប់</x:v>
      </x:c>
      <x:c r="H15" s="373" t="str">
        <x:v>https://github.com/Ny-Panha/Koupreng-invitation_project/pull/7</x:v>
      </x:c>
    </x:row>
    <x:row r="16" ht="38" customHeight="1">
      <x:c r="A16" s="370" t="n">
        <x:v>12</x:v>
      </x:c>
      <x:c r="B16" s="371" t="n">
        <x:v>46183</x:v>
      </x:c>
      <x:c r="C16" s="372" t="str">
        <x:v>Template QA</x:v>
      </x:c>
      <x:c r="D16" s="372" t="str">
        <x:v>Garden Royal Khmer Wedding Template</x:v>
      </x:c>
      <x:c r="E16" s="372" t="str">
        <x:v>សម្អាត duplicate migration, កែ public parity, story sync និង update QA checklist សម្រាប់ Garden Royal template។</x:v>
      </x:c>
      <x:c r="F16" s="372" t="str">
        <x:v>កឿង វីរៈ</x:v>
      </x:c>
      <x:c r="G16" s="388" t="str">
        <x:v>បានបញ្ចប់</x:v>
      </x:c>
      <x:c r="H16" s="373" t="str">
        <x:v>https://github.com/Ny-Panha/Koupreng-invitation_project/pull/9</x:v>
      </x:c>
    </x:row>
    <x:row r="17" ht="38" customHeight="1">
      <x:c r="A17" s="370" t="n">
        <x:v>13</x:v>
      </x:c>
      <x:c r="B17" s="371" t="n">
        <x:v>46190</x:v>
      </x:c>
      <x:c r="C17" s="372" t="str">
        <x:v>AI / LLM</x:v>
      </x:c>
      <x:c r="D17" s="372" t="str">
        <x:v>LLM Integration Review</x:v>
      </x:c>
      <x:c r="E17" s="372" t="str">
        <x:v>ពិភាក្សាអំពីការរួមបញ្ចូល LLM សម្រាប់ invitation writing/smart suggestions និងការប្រើ AI ជាផ្នែកបន្ថែម។</x:v>
      </x:c>
      <x:c r="F17" s="372" t="str">
        <x:v>Team Leader / ក្រុមគម្រោង</x:v>
      </x:c>
      <x:c r="G17" s="386" t="str">
        <x:v>បានរៀបចំ</x:v>
      </x:c>
      <x:c r="H17" s="373" t="str">
        <x:v>Project chat history</x:v>
      </x:c>
    </x:row>
    <x:row r="18" ht="38" customHeight="1">
      <x:c r="A18" s="370" t="n">
        <x:v>14</x:v>
      </x:c>
      <x:c r="B18" s="371" t="n">
        <x:v>46197</x:v>
      </x:c>
      <x:c r="C18" s="372" t="str">
        <x:v>QA</x:v>
      </x:c>
      <x:c r="D18" s="372" t="str">
        <x:v>Smoke Test និង Production Readiness</x:v>
      </x:c>
      <x:c r="E18" s="372" t="str">
        <x:v>កំណត់និយមន័យ Smoke Test និងការប្រើប្រាស់ក្នុង project QA/QC។</x:v>
      </x:c>
      <x:c r="F18" s="372" t="str">
        <x:v>ក្រុមគម្រោង</x:v>
      </x:c>
      <x:c r="G18" s="386" t="str">
        <x:v>បានរៀបចំ</x:v>
      </x:c>
      <x:c r="H18" s="373" t="str">
        <x:v>Project chat history</x:v>
      </x:c>
    </x:row>
    <x:row r="19" ht="38" customHeight="1">
      <x:c r="A19" s="370" t="n">
        <x:v>15</x:v>
      </x:c>
      <x:c r="B19" s="371" t="n">
        <x:v>46197</x:v>
      </x:c>
      <x:c r="C19" s="372" t="str">
        <x:v>Architecture</x:v>
      </x:c>
      <x:c r="D19" s="372" t="str">
        <x:v>Low-budget Deployment Architecture</x:v>
      </x:c>
      <x:c r="E19" s="372" t="str">
        <x:v>Cloudflare → VPS/Nginx → Docker Compose services: React, Spring Boot, FastAPI, MySQL, Redis និង Telegram/payment worker។</x:v>
      </x:c>
      <x:c r="F19" s="372" t="str">
        <x:v>Team Leader / ក្រុមគម្រោង</x:v>
      </x:c>
      <x:c r="G19" s="386" t="str">
        <x:v>បានរៀបចំ</x:v>
      </x:c>
      <x:c r="H19" s="373" t="str">
        <x:v>Project chat history</x:v>
      </x:c>
    </x:row>
    <x:row r="20" ht="38" customHeight="1">
      <x:c r="A20" s="370" t="n">
        <x:v>16</x:v>
      </x:c>
      <x:c r="B20" s="371" t="n">
        <x:v>46206</x:v>
      </x:c>
      <x:c r="C20" s="372" t="str">
        <x:v>Implementation</x:v>
      </x:c>
      <x:c r="D20" s="372" t="str">
        <x:v>Khmer Wedding Template Iteration</x:v>
      </x:c>
      <x:c r="E20" s="372" t="str">
        <x:v>Dynamic/Premium Canva Khmer wedding renderer, Garden Royal styling, location fallback និង visual improvements។</x:v>
      </x:c>
      <x:c r="F20" s="372" t="str">
        <x:v>កឿង វីរៈ</x:v>
      </x:c>
      <x:c r="G20" s="388" t="str">
        <x:v>បានបញ្ចប់</x:v>
      </x:c>
      <x:c r="H20" s="373" t="str">
        <x:v>https://github.com/Ny-Panha/Koupreng-invitation_project/commit/c6aa34ed8f72eeda3a35715e1e5053222ddac36c</x:v>
      </x:c>
    </x:row>
    <x:row r="21" ht="38" customHeight="1">
      <x:c r="A21" s="370" t="n">
        <x:v>17</x:v>
      </x:c>
      <x:c r="B21" s="371" t="n">
        <x:v>46224</x:v>
      </x:c>
      <x:c r="C21" s="372" t="str">
        <x:v>Repository Audit</x:v>
      </x:c>
      <x:c r="D21" s="372" t="str">
        <x:v>Repository Cleanup + QA/QC</x:v>
      </x:c>
      <x:c r="E21" s="372" t="str">
        <x:v>សម្អាត unused assets/routes, រៀបចំ scripts, CI quality gates, backend migration gates, Playwright route smoke, security redaction និង QA evidence។</x:v>
      </x:c>
      <x:c r="F21" s="372" t="str">
        <x:v>កឿង វីរៈ</x:v>
      </x:c>
      <x:c r="G21" s="388" t="str">
        <x:v>បានបញ្ចប់</x:v>
      </x:c>
      <x:c r="H21" s="373" t="str">
        <x:v>https://github.com/Ny-Panha/Koupreng-invitation_project/commit/8ac78ee8d3fc3a74102441a0b0b69ee1d3d438ff</x:v>
      </x:c>
    </x:row>
    <x:row r="22" ht="38" customHeight="1">
      <x:c r="A22" s="370" t="n">
        <x:v>18</x:v>
      </x:c>
      <x:c r="B22" s="371" t="n">
        <x:v>46241</x:v>
      </x:c>
      <x:c r="C22" s="372" t="str">
        <x:v>Feature Modernization</x:v>
      </x:c>
      <x:c r="D22" s="372" t="str">
        <x:v>User/Admin Platform Modernization</x:v>
      </x:c>
      <x:c r="E22" s="372" t="str">
        <x:v>Dashboard, invitation builder, AI writing assistant, organization workspace, guest management, budget, gifts, RSVP/check-in/seating និង admin workflows។</x:v>
      </x:c>
      <x:c r="F22" s="372" t="str">
        <x:v>កឿង វីរៈ</x:v>
      </x:c>
      <x:c r="G22" s="388" t="str">
        <x:v>បានបញ្ចប់</x:v>
      </x:c>
      <x:c r="H22" s="373" t="str">
        <x:v>https://github.com/Ny-Panha/Koupreng-invitation_project/commit/a56d0b49e74724c34faa90981d8eb4991cd0cf4a</x:v>
      </x:c>
    </x:row>
    <x:row r="23" ht="38" customHeight="1">
      <x:c r="A23" s="370" t="n">
        <x:v>19</x:v>
      </x:c>
      <x:c r="B23" s="371" t="n">
        <x:v>46241</x:v>
      </x:c>
      <x:c r="C23" s="372" t="str">
        <x:v>QA</x:v>
      </x:c>
      <x:c r="D23" s="372" t="str">
        <x:v>Verify A–K Project Flows</x:v>
      </x:c>
      <x:c r="E23" s="372" t="str">
        <x:v>បន្ថែម full A–K QA report, route aliases, lint cleanup និង 22/22 route smoke verification។</x:v>
      </x:c>
      <x:c r="F23" s="372" t="str">
        <x:v>កឿង វីរៈ</x:v>
      </x:c>
      <x:c r="G23" s="388" t="str">
        <x:v>បានបញ្ចប់</x:v>
      </x:c>
      <x:c r="H23" s="373" t="str">
        <x:v>https://github.com/Ny-Panha/Koupreng-invitation_project/pull/10</x:v>
      </x:c>
    </x:row>
    <x:row r="24" ht="38" customHeight="1">
      <x:c r="A24" s="370" t="n">
        <x:v>20</x:v>
      </x:c>
      <x:c r="B24" s="371" t="n">
        <x:v>46244</x:v>
      </x:c>
      <x:c r="C24" s="372" t="str">
        <x:v>Security / CI</x:v>
      </x:c>
      <x:c r="D24" s="372" t="str">
        <x:v>Business Flow + Dependency Hardening</x:v>
      </x:c>
      <x:c r="E24" s="372" t="str">
        <x:v>Harden frontend/backend business flows, sync frontend dependencies/CI gates និង patch backend dependency vulnerabilities។</x:v>
      </x:c>
      <x:c r="F24" s="372" t="str">
        <x:v>កឿង វីរៈ</x:v>
      </x:c>
      <x:c r="G24" s="388" t="str">
        <x:v>បានបញ្ចប់</x:v>
      </x:c>
      <x:c r="H24" s="373" t="str">
        <x:v>https://github.com/Ny-Panha/Koupreng-invitation_project/commit/57892c718869b4fc4bd80c47eb2b14c87c894547</x:v>
      </x:c>
    </x:row>
    <x:row r="25" ht="38" customHeight="1">
      <x:c r="A25" s="370" t="n">
        <x:v>21</x:v>
      </x:c>
      <x:c r="B25" s="371" t="n">
        <x:v>46260</x:v>
      </x:c>
      <x:c r="C25" s="372" t="str">
        <x:v>Authentication</x:v>
      </x:c>
      <x:c r="D25" s="372" t="str">
        <x:v>Legacy session/auth storage improvement</x:v>
      </x:c>
      <x:c r="E25" s="372" t="str">
        <x:v>កែ storage handling សម្រាប់ legacy session authentication និង initial state reading។</x:v>
      </x:c>
      <x:c r="F25" s="372" t="str">
        <x:v>ឡាំ គីមឡុង</x:v>
      </x:c>
      <x:c r="G25" s="388" t="str">
        <x:v>បានបញ្ចប់</x:v>
      </x:c>
      <x:c r="H25" s="373" t="str">
        <x:v>https://github.com/Ny-Panha/Koupreng-invitation_project/commit/481ab54194ef580f9b9be872c9b2da873315187c</x:v>
      </x:c>
    </x:row>
    <x:row r="26" ht="38" customHeight="1">
      <x:c r="A26" s="370" t="n">
        <x:v>22</x:v>
      </x:c>
      <x:c r="B26" s="371" t="n">
        <x:v>46265</x:v>
      </x:c>
      <x:c r="C26" s="372" t="str">
        <x:v>UI / Dashboard</x:v>
      </x:c>
      <x:c r="D26" s="372" t="str">
        <x:v>Dashboard &amp; Template Catalog Polish</x:v>
      </x:c>
      <x:c r="E26" s="372" t="str">
        <x:v>កែ draft 404 console errors និង polish template catalog/dashboard UI។</x:v>
      </x:c>
      <x:c r="F26" s="372" t="str">
        <x:v>នី បញ្ញា</x:v>
      </x:c>
      <x:c r="G26" s="388" t="str">
        <x:v>បានបញ្ចប់</x:v>
      </x:c>
      <x:c r="H26" s="373" t="str">
        <x:v>https://github.com/Ny-Panha/Koupreng-invitation_project/commit/d61d7b1a590093f5c673a7ee214be56132f60837</x:v>
      </x:c>
    </x:row>
    <x:row r="27" ht="38" customHeight="1">
      <x:c r="A27" s="370" t="n">
        <x:v>23</x:v>
      </x:c>
      <x:c r="B27" s="371" t="n">
        <x:v>46265</x:v>
      </x:c>
      <x:c r="C27" s="372" t="str">
        <x:v>Documentation</x:v>
      </x:c>
      <x:c r="D27" s="372" t="str">
        <x:v>Workflow Diagram</x:v>
      </x:c>
      <x:c r="E27" s="372" t="str">
        <x:v>រៀបចំ workflow diagram សម្រាប់ project ដើម្បីបង្ហាញ process និង system flow។</x:v>
      </x:c>
      <x:c r="F27" s="372" t="str">
        <x:v>Team Leader</x:v>
      </x:c>
      <x:c r="G27" s="386" t="str">
        <x:v>បានរៀបចំ</x:v>
      </x:c>
      <x:c r="H27" s="373" t="str">
        <x:v>Project chat history</x:v>
      </x:c>
    </x:row>
    <x:row r="28" ht="38" customHeight="1">
      <x:c r="A28" s="370" t="n">
        <x:v>24</x:v>
      </x:c>
      <x:c r="B28" s="371" t="n">
        <x:v>46268</x:v>
      </x:c>
      <x:c r="C28" s="372" t="str">
        <x:v>Architecture / Code</x:v>
      </x:c>
      <x:c r="D28" s="372" t="str">
        <x:v>Feature Modularization</x:v>
      </x:c>
      <x:c r="E28" s="372" t="str">
        <x:v>Modularize features, update wedding builder/templates និង backend test suites។</x:v>
      </x:c>
      <x:c r="F28" s="372" t="str">
        <x:v>នី បញ្ញា</x:v>
      </x:c>
      <x:c r="G28" s="388" t="str">
        <x:v>បានបញ្ចប់</x:v>
      </x:c>
      <x:c r="H28" s="373" t="str">
        <x:v>https://github.com/Ny-Panha/Koupreng-invitation_project/commit/36332bd59b5a2558a0fca69ff61ee9acdd2d8770</x:v>
      </x:c>
    </x:row>
    <x:row r="29" ht="38" customHeight="1">
      <x:c r="A29" s="370" t="n">
        <x:v>25</x:v>
      </x:c>
      <x:c r="B29" s="371" t="n">
        <x:v>46271</x:v>
      </x:c>
      <x:c r="C29" s="372" t="str">
        <x:v>Seating</x:v>
      </x:c>
      <x:c r="D29" s="372" t="str">
        <x:v>Canva-style Seating Floor Plan</x:v>
      </x:c>
      <x:c r="E29" s="372" t="str">
        <x:v>Auto-arrange grid, anti-overlap និង support ដល់ 100 tables។</x:v>
      </x:c>
      <x:c r="F29" s="372" t="str">
        <x:v>នី បញ្ញា</x:v>
      </x:c>
      <x:c r="G29" s="388" t="str">
        <x:v>បានបញ្ចប់</x:v>
      </x:c>
      <x:c r="H29" s="373" t="str">
        <x:v>https://github.com/Ny-Panha/Koupreng-invitation_project/commit/d484ad24d2c1a9605f900e32670ba374492aecfb</x:v>
      </x:c>
    </x:row>
    <x:row r="30" ht="38" customHeight="1">
      <x:c r="A30" s="370" t="n">
        <x:v>26</x:v>
      </x:c>
      <x:c r="B30" s="371" t="n">
        <x:v>46272</x:v>
      </x:c>
      <x:c r="C30" s="372" t="str">
        <x:v>Backend Docs</x:v>
      </x:c>
      <x:c r="D30" s="372" t="str">
        <x:v>Secure OpenAPI / Scalar</x:v>
      </x:c>
      <x:c r="E30" s="372" t="str">
        <x:v>Secure OpenAPI documentation, static analysis cleanup, Scalar API portal និង dev fixtures។</x:v>
      </x:c>
      <x:c r="F30" s="372" t="str">
        <x:v>ឡាំ គីមឡុង</x:v>
      </x:c>
      <x:c r="G30" s="388" t="str">
        <x:v>បានបញ្ចប់</x:v>
      </x:c>
      <x:c r="H30" s="373" t="str">
        <x:v>https://github.com/Ny-Panha/Koupreng-invitation_project/commit/4d6f27b68e68d4773a7c6faa0e98f4013115c651</x:v>
      </x:c>
    </x:row>
    <x:row r="31" ht="38" customHeight="1">
      <x:c r="A31" s="370" t="n">
        <x:v>27</x:v>
      </x:c>
      <x:c r="B31" s="371" t="n">
        <x:v>46273</x:v>
      </x:c>
      <x:c r="C31" s="372" t="str">
        <x:v>Backend Docs</x:v>
      </x:c>
      <x:c r="D31" s="372" t="str">
        <x:v>Swagger UI + API documentation settings</x:v>
      </x:c>
      <x:c r="E31" s="372" t="str">
        <x:v>Enable Swagger UI និង update API documentation configuration។</x:v>
      </x:c>
      <x:c r="F31" s="372" t="str">
        <x:v>ឡាំ គីមឡុង</x:v>
      </x:c>
      <x:c r="G31" s="388" t="str">
        <x:v>បានបញ្ចប់</x:v>
      </x:c>
      <x:c r="H31" s="373" t="str">
        <x:v>https://github.com/Ny-Panha/Koupreng-invitation_project/commit/468024ee6a17e161417f2154f2f9c1f9fb56d31a</x:v>
      </x:c>
    </x:row>
    <x:row r="32" ht="38" customHeight="1">
      <x:c r="A32" s="370" t="n">
        <x:v>28</x:v>
      </x:c>
      <x:c r="B32" s="371" t="n">
        <x:v>46273</x:v>
      </x:c>
      <x:c r="C32" s="372" t="str">
        <x:v>Team Workflow</x:v>
      </x:c>
      <x:c r="D32" s="372" t="str">
        <x:v>Git automation to prevent code collisions</x:v>
      </x:c>
      <x:c r="E32" s="372" t="str">
        <x:v>បន្ថែម team Git automation scripts សម្រាប់កាត់បន្ថយ merge/code collision។</x:v>
      </x:c>
      <x:c r="F32" s="372" t="str">
        <x:v>នី បញ្ញា</x:v>
      </x:c>
      <x:c r="G32" s="388" t="str">
        <x:v>បានបញ្ចប់</x:v>
      </x:c>
      <x:c r="H32" s="373" t="str">
        <x:v>https://github.com/Ny-Panha/Koupreng-invitation_project/commit/c7512d6fdeae920bb4c1da031f852dd8ae7b517f</x:v>
      </x:c>
    </x:row>
    <x:row r="33" ht="38" customHeight="1">
      <x:c r="A33" s="370" t="n">
        <x:v>29</x:v>
      </x:c>
      <x:c r="B33" s="371" t="n">
        <x:v>46273</x:v>
      </x:c>
      <x:c r="C33" s="372" t="str">
        <x:v>Template Fix</x:v>
      </x:c>
      <x:c r="D33" s="372" t="str">
        <x:v>Live Preview Sync / Curtain Gate</x:v>
      </x:c>
      <x:c r="E33" s="372" t="str">
        <x:v>កែ live preview sync និង curtain gate style overlay ក្នុង dedicated layouts។</x:v>
      </x:c>
      <x:c r="F33" s="372" t="str">
        <x:v>នី បញ្ញា</x:v>
      </x:c>
      <x:c r="G33" s="388" t="str">
        <x:v>បានបញ្ចប់</x:v>
      </x:c>
      <x:c r="H33" s="373" t="str">
        <x:v>https://github.com/Ny-Panha/Koupreng-invitation_project/commit/59eec270c00e1d96d8b97b428a0fefcc6b77dde5</x:v>
      </x:c>
    </x:row>
    <x:row r="34" ht="38" customHeight="1">
      <x:c r="A34" s="374" t="n">
        <x:v>30</x:v>
      </x:c>
      <x:c r="B34" s="375" t="n">
        <x:v>46274</x:v>
      </x:c>
      <x:c r="C34" s="376" t="str">
        <x:v>Audit</x:v>
      </x:c>
      <x:c r="D34" s="376" t="str">
        <x:v>Team Participation &amp; Contribution Report</x:v>
      </x:c>
      <x:c r="E34" s="376" t="str">
        <x:v>រៀបចំ Excel audit form មាន weekly attendance, assignment, GitHub evidence, QA/QC, task tracker និង final deadline 01-Dec-2026។</x:v>
      </x:c>
      <x:c r="F34" s="376" t="str">
        <x:v>Team Leader / ក្រុមគម្រោង</x:v>
      </x:c>
      <x:c r="G34" s="390" t="str">
        <x:v>កំពុងប្រើប្រាស់</x:v>
      </x:c>
      <x:c r="H34" s="377" t="str">
        <x:v>Project chat history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18" hidden="0" customWidth="1"/>
    <x:col min="4" max="4" width="16" hidden="0" customWidth="1"/>
    <x:col min="5" max="5" width="10" hidden="0" customWidth="1"/>
    <x:col min="6" max="6" width="12" hidden="0" customWidth="1"/>
    <x:col min="7" max="7" width="50" hidden="0" customWidth="1"/>
    <x:col min="8" max="8" width="18" hidden="0" customWidth="1"/>
    <x:col min="9" max="9" width="34" hidden="0" customWidth="1"/>
    <x:col min="10" max="10" width="54" hidden="0" customWidth="1"/>
  </x:cols>
  <x:sheetData>
    <x:row r="1" ht="30" customHeight="1">
      <x:c r="A1" s="5" t="str">
        <x:v>ភស្តុតាងសកម្មភាព GitHub របស់ក្រុម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2" customHeight="1">
      <x:c r="A2" s="393" t="str">
        <x:v>Repository: Ny-Panha/Koupreng-invitation_project | Evidence reviewed through 08-Sep-2026 | Commit/PR គឺជាភស្តុតាងបច្ចេកទេស មិនមែនជាពិន្ទុស្វ័យប្រវត្តិ</x:v>
      </x:c>
      <x:c r="B2" s="393"/>
      <x:c r="C2" s="393"/>
      <x:c r="D2" s="393"/>
      <x:c r="E2" s="393"/>
      <x:c r="F2" s="393"/>
      <x:c r="G2" s="393"/>
      <x:c r="H2" s="393"/>
      <x:c r="I2" s="393"/>
      <x:c r="J2" s="393"/>
    </x:row>
    <x:row r="4" ht="34" customHeight="1">
      <x:c r="A4" s="184" t="str">
        <x:v>ល.រ</x:v>
      </x:c>
      <x:c r="B4" s="185" t="str">
        <x:v>កាលបរិច្ឆេទ</x:v>
      </x:c>
      <x:c r="C4" s="185" t="str">
        <x:v>សមាជិក</x:v>
      </x:c>
      <x:c r="D4" s="185" t="str">
        <x:v>GitHub User</x:v>
      </x:c>
      <x:c r="E4" s="185" t="str">
        <x:v>ប្រភេទ</x:v>
      </x:c>
      <x:c r="F4" s="185" t="str">
        <x:v>PR / Commit</x:v>
      </x:c>
      <x:c r="G4" s="185" t="str">
        <x:v>សេចក្ដីសង្ខេប</x:v>
      </x:c>
      <x:c r="H4" s="185" t="str">
        <x:v>ស្ថានភាព</x:v>
      </x:c>
      <x:c r="I4" s="185" t="str">
        <x:v>QA / Evidence Note</x:v>
      </x:c>
      <x:c r="J4" s="186" t="str">
        <x:v>Link</x:v>
      </x:c>
    </x:row>
    <x:row r="5" ht="32" customHeight="1">
      <x:c r="A5" s="370" t="n">
        <x:v>1</x:v>
      </x:c>
      <x:c r="B5" s="371" t="n">
        <x:v>46168</x:v>
      </x:c>
      <x:c r="C5" s="388" t="str">
        <x:v>កឿង វីរៈ</x:v>
      </x:c>
      <x:c r="D5" s="329" t="str">
        <x:v>KoeurngVireakk</x:v>
      </x:c>
      <x:c r="E5" s="329" t="str">
        <x:v>PR</x:v>
      </x:c>
      <x:c r="F5" s="329" t="str">
        <x:v>#2</x:v>
      </x:c>
      <x:c r="G5" s="372" t="str">
        <x:v>Add media and template payment flows</x:v>
      </x:c>
      <x:c r="H5" s="372" t="str">
        <x:v>Merged</x:v>
      </x:c>
      <x:c r="I5" s="372" t="str">
        <x:v>Backend 72 tests; frontend build; Telegram compile</x:v>
      </x:c>
      <x:c r="J5" s="373" t="str">
        <x:v>https://github.com/Ny-Panha/Koupreng-invitation_project/pull/2</x:v>
      </x:c>
    </x:row>
    <x:row r="6" ht="32" customHeight="1">
      <x:c r="A6" s="370" t="n">
        <x:v>2</x:v>
      </x:c>
      <x:c r="B6" s="371" t="n">
        <x:v>46174</x:v>
      </x:c>
      <x:c r="C6" s="388" t="str">
        <x:v>កឿង វីរៈ</x:v>
      </x:c>
      <x:c r="D6" s="329" t="str">
        <x:v>KoeurngVireakk</x:v>
      </x:c>
      <x:c r="E6" s="329" t="str">
        <x:v>PR</x:v>
      </x:c>
      <x:c r="F6" s="329" t="str">
        <x:v>#3</x:v>
      </x:c>
      <x:c r="G6" s="372" t="str">
        <x:v>Resolve payment conflict flows</x:v>
      </x:c>
      <x:c r="H6" s="372" t="str">
        <x:v>Merged</x:v>
      </x:c>
      <x:c r="I6" s="372" t="str">
        <x:v>Backend 84 tests; user/admin builds; Telegram compile</x:v>
      </x:c>
      <x:c r="J6" s="373" t="str">
        <x:v>https://github.com/Ny-Panha/Koupreng-invitation_project/pull/3</x:v>
      </x:c>
    </x:row>
    <x:row r="7" ht="32" customHeight="1">
      <x:c r="A7" s="370" t="n">
        <x:v>3</x:v>
      </x:c>
      <x:c r="B7" s="371" t="n">
        <x:v>46181</x:v>
      </x:c>
      <x:c r="C7" s="388" t="str">
        <x:v>កឿង វីរៈ</x:v>
      </x:c>
      <x:c r="D7" s="329" t="str">
        <x:v>KoeurngVireakk</x:v>
      </x:c>
      <x:c r="E7" s="329" t="str">
        <x:v>PR</x:v>
      </x:c>
      <x:c r="F7" s="329" t="str">
        <x:v>#4</x:v>
      </x:c>
      <x:c r="G7" s="372" t="str">
        <x:v>Harden account, payment and budget recovery</x:v>
      </x:c>
      <x:c r="H7" s="372" t="str">
        <x:v>Merged</x:v>
      </x:c>
      <x:c r="I7" s="372" t="str">
        <x:v>Backend 124 tests; build/smoke validation</x:v>
      </x:c>
      <x:c r="J7" s="373" t="str">
        <x:v>https://github.com/Ny-Panha/Koupreng-invitation_project/pull/4</x:v>
      </x:c>
    </x:row>
    <x:row r="8" ht="32" customHeight="1">
      <x:c r="A8" s="370" t="n">
        <x:v>4</x:v>
      </x:c>
      <x:c r="B8" s="371" t="n">
        <x:v>46181</x:v>
      </x:c>
      <x:c r="C8" s="388" t="str">
        <x:v>កឿង វីរៈ</x:v>
      </x:c>
      <x:c r="D8" s="329" t="str">
        <x:v>KoeurngVireakk</x:v>
      </x:c>
      <x:c r="E8" s="329" t="str">
        <x:v>PR</x:v>
      </x:c>
      <x:c r="F8" s="329" t="str">
        <x:v>#5</x:v>
      </x:c>
      <x:c r="G8" s="372" t="str">
        <x:v>Fix backend diagnostics</x:v>
      </x:c>
      <x:c r="H8" s="372" t="str">
        <x:v>Closed / Not merged</x:v>
      </x:c>
      <x:c r="I8" s="372" t="str">
        <x:v>111 backend tests; frontend build</x:v>
      </x:c>
      <x:c r="J8" s="373" t="str">
        <x:v>https://github.com/Ny-Panha/Koupreng-invitation_project/pull/5</x:v>
      </x:c>
    </x:row>
    <x:row r="9" ht="32" customHeight="1">
      <x:c r="A9" s="370" t="n">
        <x:v>5</x:v>
      </x:c>
      <x:c r="B9" s="371" t="n">
        <x:v>46182</x:v>
      </x:c>
      <x:c r="C9" s="388" t="str">
        <x:v>កឿង វីរៈ</x:v>
      </x:c>
      <x:c r="D9" s="329" t="str">
        <x:v>KoeurngVireakk</x:v>
      </x:c>
      <x:c r="E9" s="329" t="str">
        <x:v>PR</x:v>
      </x:c>
      <x:c r="F9" s="329" t="str">
        <x:v>#6</x:v>
      </x:c>
      <x:c r="G9" s="372" t="str">
        <x:v>Post-merge full project QA audit</x:v>
      </x:c>
      <x:c r="H9" s="372" t="str">
        <x:v>Closed / Not merged</x:v>
      </x:c>
      <x:c r="I9" s="372" t="str">
        <x:v>Backend 124 tests; 22 routes smoke</x:v>
      </x:c>
      <x:c r="J9" s="373" t="str">
        <x:v>https://github.com/Ny-Panha/Koupreng-invitation_project/pull/6</x:v>
      </x:c>
    </x:row>
    <x:row r="10" ht="32" customHeight="1">
      <x:c r="A10" s="370" t="n">
        <x:v>6</x:v>
      </x:c>
      <x:c r="B10" s="371" t="n">
        <x:v>46182</x:v>
      </x:c>
      <x:c r="C10" s="388" t="str">
        <x:v>កឿង វីរៈ</x:v>
      </x:c>
      <x:c r="D10" s="329" t="str">
        <x:v>KoeurngVireakk</x:v>
      </x:c>
      <x:c r="E10" s="329" t="str">
        <x:v>PR</x:v>
      </x:c>
      <x:c r="F10" s="329" t="str">
        <x:v>#7</x:v>
      </x:c>
      <x:c r="G10" s="372" t="str">
        <x:v>Security / CSV export / audit IP hardening</x:v>
      </x:c>
      <x:c r="H10" s="372" t="str">
        <x:v>Merged</x:v>
      </x:c>
      <x:c r="I10" s="372" t="str">
        <x:v>Security hardening evidence</x:v>
      </x:c>
      <x:c r="J10" s="373" t="str">
        <x:v>https://github.com/Ny-Panha/Koupreng-invitation_project/pull/7</x:v>
      </x:c>
    </x:row>
    <x:row r="11" ht="32" customHeight="1">
      <x:c r="A11" s="370" t="n">
        <x:v>7</x:v>
      </x:c>
      <x:c r="B11" s="371" t="n">
        <x:v>46182</x:v>
      </x:c>
      <x:c r="C11" s="388" t="str">
        <x:v>កឿង វីរៈ</x:v>
      </x:c>
      <x:c r="D11" s="329" t="str">
        <x:v>KoeurngVireakk</x:v>
      </x:c>
      <x:c r="E11" s="329" t="str">
        <x:v>PR</x:v>
      </x:c>
      <x:c r="F11" s="329" t="str">
        <x:v>#8</x:v>
      </x:c>
      <x:c r="G11" s="372" t="str">
        <x:v>Restore post-merge QA tooling and admin login route</x:v>
      </x:c>
      <x:c r="H11" s="372" t="str">
        <x:v>Merged</x:v>
      </x:c>
      <x:c r="I11" s="372" t="str">
        <x:v>QA tooling restored</x:v>
      </x:c>
      <x:c r="J11" s="373" t="str">
        <x:v>https://github.com/Ny-Panha/Koupreng-invitation_project/pull/8</x:v>
      </x:c>
    </x:row>
    <x:row r="12" ht="32" customHeight="1">
      <x:c r="A12" s="370" t="n">
        <x:v>8</x:v>
      </x:c>
      <x:c r="B12" s="371" t="n">
        <x:v>46183</x:v>
      </x:c>
      <x:c r="C12" s="388" t="str">
        <x:v>កឿង វីរៈ</x:v>
      </x:c>
      <x:c r="D12" s="329" t="str">
        <x:v>KoeurngVireakk</x:v>
      </x:c>
      <x:c r="E12" s="329" t="str">
        <x:v>PR</x:v>
      </x:c>
      <x:c r="F12" s="329" t="str">
        <x:v>#9</x:v>
      </x:c>
      <x:c r="G12" s="372" t="str">
        <x:v>Complete Garden Royal Khmer wedding template audit cleanup</x:v>
      </x:c>
      <x:c r="H12" s="372" t="str">
        <x:v>Merged</x:v>
      </x:c>
      <x:c r="I12" s="372" t="str">
        <x:v>Backend 127 tests; user/admin build; route smoke</x:v>
      </x:c>
      <x:c r="J12" s="373" t="str">
        <x:v>https://github.com/Ny-Panha/Koupreng-invitation_project/pull/9</x:v>
      </x:c>
    </x:row>
    <x:row r="13" ht="32" customHeight="1">
      <x:c r="A13" s="370" t="n">
        <x:v>9</x:v>
      </x:c>
      <x:c r="B13" s="371" t="n">
        <x:v>46189</x:v>
      </x:c>
      <x:c r="C13" s="388" t="str">
        <x:v>កឿង វីរៈ</x:v>
      </x:c>
      <x:c r="D13" s="329" t="str">
        <x:v>KoeurngVireakk</x:v>
      </x:c>
      <x:c r="E13" s="329" t="str">
        <x:v>PR</x:v>
      </x:c>
      <x:c r="F13" s="329" t="str">
        <x:v>#10</x:v>
      </x:c>
      <x:c r="G13" s="372" t="str">
        <x:v>Verify A-K project flows</x:v>
      </x:c>
      <x:c r="H13" s="372" t="str">
        <x:v>Merged</x:v>
      </x:c>
      <x:c r="I13" s="372" t="str">
        <x:v>Backend 127 tests/package; lint/build; 22/22 route smoke</x:v>
      </x:c>
      <x:c r="J13" s="373" t="str">
        <x:v>https://github.com/Ny-Panha/Koupreng-invitation_project/pull/10</x:v>
      </x:c>
    </x:row>
    <x:row r="14" ht="32" customHeight="1">
      <x:c r="A14" s="370" t="n">
        <x:v>10</x:v>
      </x:c>
      <x:c r="B14" s="371" t="n">
        <x:v>46244</x:v>
      </x:c>
      <x:c r="C14" s="388" t="str">
        <x:v>កឿង វីរៈ</x:v>
      </x:c>
      <x:c r="D14" s="329" t="str">
        <x:v>KoeurngVireakk</x:v>
      </x:c>
      <x:c r="E14" s="329" t="str">
        <x:v>Commit</x:v>
      </x:c>
      <x:c r="F14" s="329" t="str">
        <x:v>57892c7</x:v>
      </x:c>
      <x:c r="G14" s="372" t="str">
        <x:v>Patch backend dependency vulnerabilities</x:v>
      </x:c>
      <x:c r="H14" s="372" t="str">
        <x:v>On main / traceable</x:v>
      </x:c>
      <x:c r="I14" s="372" t="str">
        <x:v>Commit history evidence</x:v>
      </x:c>
      <x:c r="J14" s="373" t="str">
        <x:v>https://github.com/Ny-Panha/Koupreng-invitation_project/commit/57892c7</x:v>
      </x:c>
    </x:row>
    <x:row r="15" ht="32" customHeight="1">
      <x:c r="A15" s="370" t="n">
        <x:v>11</x:v>
      </x:c>
      <x:c r="B15" s="371" t="n">
        <x:v>46244</x:v>
      </x:c>
      <x:c r="C15" s="388" t="str">
        <x:v>កឿង វីរៈ</x:v>
      </x:c>
      <x:c r="D15" s="329" t="str">
        <x:v>KoeurngVireakk</x:v>
      </x:c>
      <x:c r="E15" s="329" t="str">
        <x:v>Commit</x:v>
      </x:c>
      <x:c r="F15" s="329" t="str">
        <x:v>307dc4e</x:v>
      </x:c>
      <x:c r="G15" s="372" t="str">
        <x:v>Synchronize frontend dependencies and CI gates</x:v>
      </x:c>
      <x:c r="H15" s="372" t="str">
        <x:v>On main / traceable</x:v>
      </x:c>
      <x:c r="I15" s="372" t="str">
        <x:v>Commit history evidence</x:v>
      </x:c>
      <x:c r="J15" s="373" t="str">
        <x:v>https://github.com/Ny-Panha/Koupreng-invitation_project/commit/307dc4e</x:v>
      </x:c>
    </x:row>
    <x:row r="16" ht="32" customHeight="1">
      <x:c r="A16" s="370" t="n">
        <x:v>12</x:v>
      </x:c>
      <x:c r="B16" s="371" t="n">
        <x:v>46244</x:v>
      </x:c>
      <x:c r="C16" s="388" t="str">
        <x:v>កឿង វីរៈ</x:v>
      </x:c>
      <x:c r="D16" s="329" t="str">
        <x:v>KoeurngVireakk</x:v>
      </x:c>
      <x:c r="E16" s="329" t="str">
        <x:v>Commit</x:v>
      </x:c>
      <x:c r="F16" s="329" t="str">
        <x:v>7811967</x:v>
      </x:c>
      <x:c r="G16" s="372" t="str">
        <x:v>Harden frontend and backend business flows</x:v>
      </x:c>
      <x:c r="H16" s="372" t="str">
        <x:v>On main / traceable</x:v>
      </x:c>
      <x:c r="I16" s="372" t="str">
        <x:v>Commit history evidence</x:v>
      </x:c>
      <x:c r="J16" s="373" t="str">
        <x:v>https://github.com/Ny-Panha/Koupreng-invitation_project/commit/7811967</x:v>
      </x:c>
    </x:row>
    <x:row r="17" ht="32" customHeight="1">
      <x:c r="A17" s="370" t="n">
        <x:v>13</x:v>
      </x:c>
      <x:c r="B17" s="371" t="n">
        <x:v>46244</x:v>
      </x:c>
      <x:c r="C17" s="388" t="str">
        <x:v>កឿង វីរៈ</x:v>
      </x:c>
      <x:c r="D17" s="329" t="str">
        <x:v>KoeurngVireakk</x:v>
      </x:c>
      <x:c r="E17" s="329" t="str">
        <x:v>Commit</x:v>
      </x:c>
      <x:c r="F17" s="329" t="str">
        <x:v>83bfaed</x:v>
      </x:c>
      <x:c r="G17" s="372" t="str">
        <x:v>Implement mobile navigation sidebar and toggle functionality</x:v>
      </x:c>
      <x:c r="H17" s="372" t="str">
        <x:v>On main / traceable</x:v>
      </x:c>
      <x:c r="I17" s="372" t="str">
        <x:v>Commit history evidence</x:v>
      </x:c>
      <x:c r="J17" s="373" t="str">
        <x:v>https://github.com/Ny-Panha/Koupreng-invitation_project/commit/83bfaed</x:v>
      </x:c>
    </x:row>
    <x:row r="18" ht="32" customHeight="1">
      <x:c r="A18" s="370" t="n">
        <x:v>14</x:v>
      </x:c>
      <x:c r="B18" s="371" t="n">
        <x:v>46241</x:v>
      </x:c>
      <x:c r="C18" s="388" t="str">
        <x:v>កឿង វីរៈ</x:v>
      </x:c>
      <x:c r="D18" s="329" t="str">
        <x:v>KoeurngVireakk</x:v>
      </x:c>
      <x:c r="E18" s="329" t="str">
        <x:v>Commit</x:v>
      </x:c>
      <x:c r="F18" s="329" t="str">
        <x:v>a56d0b4</x:v>
      </x:c>
      <x:c r="G18" s="372" t="str">
        <x:v>Complete platform management workflows</x:v>
      </x:c>
      <x:c r="H18" s="372" t="str">
        <x:v>On main / traceable</x:v>
      </x:c>
      <x:c r="I18" s="372" t="str">
        <x:v>Commit history evidence</x:v>
      </x:c>
      <x:c r="J18" s="373" t="str">
        <x:v>https://github.com/Ny-Panha/Koupreng-invitation_project/commit/a56d0b4</x:v>
      </x:c>
    </x:row>
    <x:row r="19" ht="32" customHeight="1">
      <x:c r="A19" s="370" t="n">
        <x:v>15</x:v>
      </x:c>
      <x:c r="B19" s="371" t="n">
        <x:v>46241</x:v>
      </x:c>
      <x:c r="C19" s="388" t="str">
        <x:v>កឿង វីរៈ</x:v>
      </x:c>
      <x:c r="D19" s="329" t="str">
        <x:v>KoeurngVireakk</x:v>
      </x:c>
      <x:c r="E19" s="329" t="str">
        <x:v>Commit</x:v>
      </x:c>
      <x:c r="F19" s="329" t="str">
        <x:v>e5914d4</x:v>
      </x:c>
      <x:c r="G19" s="372" t="str">
        <x:v>Modernize RSVP check-in and seating</x:v>
      </x:c>
      <x:c r="H19" s="372" t="str">
        <x:v>On main / traceable</x:v>
      </x:c>
      <x:c r="I19" s="372" t="str">
        <x:v>Commit history evidence</x:v>
      </x:c>
      <x:c r="J19" s="373" t="str">
        <x:v>https://github.com/Ny-Panha/Koupreng-invitation_project/commit/e5914d4</x:v>
      </x:c>
    </x:row>
    <x:row r="20" ht="32" customHeight="1">
      <x:c r="A20" s="370" t="n">
        <x:v>16</x:v>
      </x:c>
      <x:c r="B20" s="371" t="n">
        <x:v>46241</x:v>
      </x:c>
      <x:c r="C20" s="388" t="str">
        <x:v>កឿង វីរៈ</x:v>
      </x:c>
      <x:c r="D20" s="329" t="str">
        <x:v>KoeurngVireakk</x:v>
      </x:c>
      <x:c r="E20" s="329" t="str">
        <x:v>Commit</x:v>
      </x:c>
      <x:c r="F20" s="329" t="str">
        <x:v>f24a68c</x:v>
      </x:c>
      <x:c r="G20" s="372" t="str">
        <x:v>Modernize wedding gift tracking</x:v>
      </x:c>
      <x:c r="H20" s="372" t="str">
        <x:v>On main / traceable</x:v>
      </x:c>
      <x:c r="I20" s="372" t="str">
        <x:v>Commit history evidence</x:v>
      </x:c>
      <x:c r="J20" s="373" t="str">
        <x:v>https://github.com/Ny-Panha/Koupreng-invitation_project/commit/f24a68c</x:v>
      </x:c>
    </x:row>
    <x:row r="21" ht="32" customHeight="1">
      <x:c r="A21" s="370" t="n">
        <x:v>17</x:v>
      </x:c>
      <x:c r="B21" s="371" t="n">
        <x:v>46241</x:v>
      </x:c>
      <x:c r="C21" s="388" t="str">
        <x:v>កឿង វីរៈ</x:v>
      </x:c>
      <x:c r="D21" s="329" t="str">
        <x:v>KoeurngVireakk</x:v>
      </x:c>
      <x:c r="E21" s="329" t="str">
        <x:v>Commit</x:v>
      </x:c>
      <x:c r="F21" s="329" t="str">
        <x:v>203a29a</x:v>
      </x:c>
      <x:c r="G21" s="372" t="str">
        <x:v>Modernize budget and expense experience</x:v>
      </x:c>
      <x:c r="H21" s="372" t="str">
        <x:v>On main / traceable</x:v>
      </x:c>
      <x:c r="I21" s="372" t="str">
        <x:v>Commit history evidence</x:v>
      </x:c>
      <x:c r="J21" s="373" t="str">
        <x:v>https://github.com/Ny-Panha/Koupreng-invitation_project/commit/203a29a</x:v>
      </x:c>
    </x:row>
    <x:row r="22" ht="32" customHeight="1">
      <x:c r="A22" s="370" t="n">
        <x:v>18</x:v>
      </x:c>
      <x:c r="B22" s="371" t="n">
        <x:v>46241</x:v>
      </x:c>
      <x:c r="C22" s="388" t="str">
        <x:v>កឿង វីរៈ</x:v>
      </x:c>
      <x:c r="D22" s="329" t="str">
        <x:v>KoeurngVireakk</x:v>
      </x:c>
      <x:c r="E22" s="329" t="str">
        <x:v>Commit</x:v>
      </x:c>
      <x:c r="F22" s="329" t="str">
        <x:v>4581275</x:v>
      </x:c>
      <x:c r="G22" s="372" t="str">
        <x:v>Add dashboard insights and quick actions</x:v>
      </x:c>
      <x:c r="H22" s="372" t="str">
        <x:v>On main / traceable</x:v>
      </x:c>
      <x:c r="I22" s="372" t="str">
        <x:v>Commit history evidence</x:v>
      </x:c>
      <x:c r="J22" s="373" t="str">
        <x:v>https://github.com/Ny-Panha/Koupreng-invitation_project/commit/4581275</x:v>
      </x:c>
    </x:row>
    <x:row r="23" ht="32" customHeight="1">
      <x:c r="A23" s="370" t="n">
        <x:v>19</x:v>
      </x:c>
      <x:c r="B23" s="371" t="n">
        <x:v>46241</x:v>
      </x:c>
      <x:c r="C23" s="388" t="str">
        <x:v>កឿង វីរៈ</x:v>
      </x:c>
      <x:c r="D23" s="329" t="str">
        <x:v>KoeurngVireakk</x:v>
      </x:c>
      <x:c r="E23" s="329" t="str">
        <x:v>Commit</x:v>
      </x:c>
      <x:c r="F23" s="329" t="str">
        <x:v>f78f671</x:v>
      </x:c>
      <x:c r="G23" s="372" t="str">
        <x:v>Modernize invitation builder workflow with AI helper triggers</x:v>
      </x:c>
      <x:c r="H23" s="372" t="str">
        <x:v>On main / traceable</x:v>
      </x:c>
      <x:c r="I23" s="372" t="str">
        <x:v>Commit history evidence</x:v>
      </x:c>
      <x:c r="J23" s="373" t="str">
        <x:v>https://github.com/Ny-Panha/Koupreng-invitation_project/commit/f78f671</x:v>
      </x:c>
    </x:row>
    <x:row r="24" ht="32" customHeight="1">
      <x:c r="A24" s="370" t="n">
        <x:v>20</x:v>
      </x:c>
      <x:c r="B24" s="371" t="n">
        <x:v>46241</x:v>
      </x:c>
      <x:c r="C24" s="388" t="str">
        <x:v>កឿង វីរៈ</x:v>
      </x:c>
      <x:c r="D24" s="329" t="str">
        <x:v>KoeurngVireakk</x:v>
      </x:c>
      <x:c r="E24" s="329" t="str">
        <x:v>Commit</x:v>
      </x:c>
      <x:c r="F24" s="329" t="str">
        <x:v>c923eff</x:v>
      </x:c>
      <x:c r="G24" s="372" t="str">
        <x:v>Add invitation writing assistant</x:v>
      </x:c>
      <x:c r="H24" s="372" t="str">
        <x:v>On main / traceable</x:v>
      </x:c>
      <x:c r="I24" s="372" t="str">
        <x:v>Commit history evidence</x:v>
      </x:c>
      <x:c r="J24" s="373" t="str">
        <x:v>https://github.com/Ny-Panha/Koupreng-invitation_project/commit/c923eff</x:v>
      </x:c>
    </x:row>
    <x:row r="25" ht="32" customHeight="1">
      <x:c r="A25" s="370" t="n">
        <x:v>21</x:v>
      </x:c>
      <x:c r="B25" s="371" t="n">
        <x:v>46241</x:v>
      </x:c>
      <x:c r="C25" s="388" t="str">
        <x:v>កឿង វីរៈ</x:v>
      </x:c>
      <x:c r="D25" s="329" t="str">
        <x:v>KoeurngVireakk</x:v>
      </x:c>
      <x:c r="E25" s="329" t="str">
        <x:v>Commit</x:v>
      </x:c>
      <x:c r="F25" s="329" t="str">
        <x:v>2e57454</x:v>
      </x:c>
      <x:c r="G25" s="372" t="str">
        <x:v>Add organization team workspace management</x:v>
      </x:c>
      <x:c r="H25" s="372" t="str">
        <x:v>On main / traceable</x:v>
      </x:c>
      <x:c r="I25" s="372" t="str">
        <x:v>Commit history evidence</x:v>
      </x:c>
      <x:c r="J25" s="373" t="str">
        <x:v>https://github.com/Ny-Panha/Koupreng-invitation_project/commit/2e57454</x:v>
      </x:c>
    </x:row>
    <x:row r="26" ht="32" customHeight="1">
      <x:c r="A26" s="370" t="n">
        <x:v>22</x:v>
      </x:c>
      <x:c r="B26" s="371" t="n">
        <x:v>46241</x:v>
      </x:c>
      <x:c r="C26" s="388" t="str">
        <x:v>កឿង វីរៈ</x:v>
      </x:c>
      <x:c r="D26" s="329" t="str">
        <x:v>KoeurngVireakk</x:v>
      </x:c>
      <x:c r="E26" s="329" t="str">
        <x:v>Commit</x:v>
      </x:c>
      <x:c r="F26" s="329" t="str">
        <x:v>aa661b0</x:v>
      </x:c>
      <x:c r="G26" s="372" t="str">
        <x:v>Make backend authoritative for domain state; cleanup local fallbacks</x:v>
      </x:c>
      <x:c r="H26" s="372" t="str">
        <x:v>On main / traceable</x:v>
      </x:c>
      <x:c r="I26" s="372" t="str">
        <x:v>Commit history evidence</x:v>
      </x:c>
      <x:c r="J26" s="373" t="str">
        <x:v>https://github.com/Ny-Panha/Koupreng-invitation_project/commit/aa661b0</x:v>
      </x:c>
    </x:row>
    <x:row r="27" ht="32" customHeight="1">
      <x:c r="A27" s="370" t="n">
        <x:v>23</x:v>
      </x:c>
      <x:c r="B27" s="371" t="n">
        <x:v>46241</x:v>
      </x:c>
      <x:c r="C27" s="388" t="str">
        <x:v>កឿង វីរៈ</x:v>
      </x:c>
      <x:c r="D27" s="329" t="str">
        <x:v>KoeurngVireakk</x:v>
      </x:c>
      <x:c r="E27" s="329" t="str">
        <x:v>Commit</x:v>
      </x:c>
      <x:c r="F27" s="329" t="str">
        <x:v>b5968e5</x:v>
      </x:c>
      <x:c r="G27" s="372" t="str">
        <x:v>Modularize guest management into clean domain architecture</x:v>
      </x:c>
      <x:c r="H27" s="372" t="str">
        <x:v>On main / traceable</x:v>
      </x:c>
      <x:c r="I27" s="372" t="str">
        <x:v>Commit history evidence</x:v>
      </x:c>
      <x:c r="J27" s="373" t="str">
        <x:v>https://github.com/Ny-Panha/Koupreng-invitation_project/commit/b5968e5</x:v>
      </x:c>
    </x:row>
    <x:row r="28" ht="32" customHeight="1">
      <x:c r="A28" s="370" t="n">
        <x:v>24</x:v>
      </x:c>
      <x:c r="B28" s="371" t="n">
        <x:v>46241</x:v>
      </x:c>
      <x:c r="C28" s="388" t="str">
        <x:v>កឿង វីរៈ</x:v>
      </x:c>
      <x:c r="D28" s="329" t="str">
        <x:v>KoeurngVireakk</x:v>
      </x:c>
      <x:c r="E28" s="329" t="str">
        <x:v>Commit</x:v>
      </x:c>
      <x:c r="F28" s="329" t="str">
        <x:v>2e7fefe</x:v>
      </x:c>
      <x:c r="G28" s="372" t="str">
        <x:v>Standardize shared UI system primitives</x:v>
      </x:c>
      <x:c r="H28" s="372" t="str">
        <x:v>On main / traceable</x:v>
      </x:c>
      <x:c r="I28" s="372" t="str">
        <x:v>Commit history evidence</x:v>
      </x:c>
      <x:c r="J28" s="373" t="str">
        <x:v>https://github.com/Ny-Panha/Koupreng-invitation_project/commit/2e7fefe</x:v>
      </x:c>
    </x:row>
    <x:row r="29" ht="32" customHeight="1">
      <x:c r="A29" s="370" t="n">
        <x:v>25</x:v>
      </x:c>
      <x:c r="B29" s="371" t="n">
        <x:v>46241</x:v>
      </x:c>
      <x:c r="C29" s="388" t="str">
        <x:v>កឿង វីរៈ</x:v>
      </x:c>
      <x:c r="D29" s="329" t="str">
        <x:v>KoeurngVireakk</x:v>
      </x:c>
      <x:c r="E29" s="329" t="str">
        <x:v>Commit</x:v>
      </x:c>
      <x:c r="F29" s="329" t="str">
        <x:v>3b71c39</x:v>
      </x:c>
      <x:c r="G29" s="372" t="str">
        <x:v>Canonicalize host routes under /dashboard/* with legacy redirects</x:v>
      </x:c>
      <x:c r="H29" s="372" t="str">
        <x:v>On main / traceable</x:v>
      </x:c>
      <x:c r="I29" s="372" t="str">
        <x:v>Commit history evidence</x:v>
      </x:c>
      <x:c r="J29" s="373" t="str">
        <x:v>https://github.com/Ny-Panha/Koupreng-invitation_project/commit/3b71c39</x:v>
      </x:c>
    </x:row>
    <x:row r="30" ht="32" customHeight="1">
      <x:c r="A30" s="370" t="n">
        <x:v>26</x:v>
      </x:c>
      <x:c r="B30" s="371" t="n">
        <x:v>46241</x:v>
      </x:c>
      <x:c r="C30" s="388" t="str">
        <x:v>កឿង វីរៈ</x:v>
      </x:c>
      <x:c r="D30" s="329" t="str">
        <x:v>KoeurngVireakk</x:v>
      </x:c>
      <x:c r="E30" s="329" t="str">
        <x:v>Commit</x:v>
      </x:c>
      <x:c r="F30" s="329" t="str">
        <x:v>97e0a60</x:v>
      </x:c>
      <x:c r="G30" s="372" t="str">
        <x:v>Update current gap status and frontend/backend capability matrix</x:v>
      </x:c>
      <x:c r="H30" s="372" t="str">
        <x:v>On main / traceable</x:v>
      </x:c>
      <x:c r="I30" s="372" t="str">
        <x:v>Commit history evidence</x:v>
      </x:c>
      <x:c r="J30" s="373" t="str">
        <x:v>https://github.com/Ny-Panha/Koupreng-invitation_project/commit/97e0a60</x:v>
      </x:c>
    </x:row>
    <x:row r="31" ht="32" customHeight="1">
      <x:c r="A31" s="370" t="n">
        <x:v>27</x:v>
      </x:c>
      <x:c r="B31" s="371" t="n">
        <x:v>46241</x:v>
      </x:c>
      <x:c r="C31" s="388" t="str">
        <x:v>កឿង វីរៈ</x:v>
      </x:c>
      <x:c r="D31" s="329" t="str">
        <x:v>KoeurngVireakk</x:v>
      </x:c>
      <x:c r="E31" s="329" t="str">
        <x:v>Commit</x:v>
      </x:c>
      <x:c r="F31" s="329" t="str">
        <x:v>b026f7a</x:v>
      </x:c>
      <x:c r="G31" s="372" t="str">
        <x:v>Add comprehensive backend/frontend audit reports and test configs</x:v>
      </x:c>
      <x:c r="H31" s="372" t="str">
        <x:v>On main / traceable</x:v>
      </x:c>
      <x:c r="I31" s="372" t="str">
        <x:v>Commit history evidence</x:v>
      </x:c>
      <x:c r="J31" s="373" t="str">
        <x:v>https://github.com/Ny-Panha/Koupreng-invitation_project/commit/b026f7a</x:v>
      </x:c>
    </x:row>
    <x:row r="32" ht="32" customHeight="1">
      <x:c r="A32" s="370" t="n">
        <x:v>28</x:v>
      </x:c>
      <x:c r="B32" s="371" t="n">
        <x:v>46241</x:v>
      </x:c>
      <x:c r="C32" s="388" t="str">
        <x:v>កឿង វីរៈ</x:v>
      </x:c>
      <x:c r="D32" s="329" t="str">
        <x:v>KoeurngVireakk</x:v>
      </x:c>
      <x:c r="E32" s="329" t="str">
        <x:v>Commit</x:v>
      </x:c>
      <x:c r="F32" s="329" t="str">
        <x:v>3b045b3</x:v>
      </x:c>
      <x:c r="G32" s="372" t="str">
        <x:v>Add organization frontend API client</x:v>
      </x:c>
      <x:c r="H32" s="372" t="str">
        <x:v>On main / traceable</x:v>
      </x:c>
      <x:c r="I32" s="372" t="str">
        <x:v>Commit history evidence</x:v>
      </x:c>
      <x:c r="J32" s="373" t="str">
        <x:v>https://github.com/Ny-Panha/Koupreng-invitation_project/commit/3b045b3</x:v>
      </x:c>
    </x:row>
    <x:row r="33" ht="32" customHeight="1">
      <x:c r="A33" s="370" t="n">
        <x:v>29</x:v>
      </x:c>
      <x:c r="B33" s="371" t="n">
        <x:v>46241</x:v>
      </x:c>
      <x:c r="C33" s="388" t="str">
        <x:v>កឿង វីរៈ</x:v>
      </x:c>
      <x:c r="D33" s="329" t="str">
        <x:v>KoeurngVireakk</x:v>
      </x:c>
      <x:c r="E33" s="329" t="str">
        <x:v>Commit</x:v>
      </x:c>
      <x:c r="F33" s="329" t="str">
        <x:v>159e649</x:v>
      </x:c>
      <x:c r="G33" s="372" t="str">
        <x:v>Merge repository cleanup and QA into main</x:v>
      </x:c>
      <x:c r="H33" s="372" t="str">
        <x:v>On main / traceable</x:v>
      </x:c>
      <x:c r="I33" s="372" t="str">
        <x:v>Commit history evidence</x:v>
      </x:c>
      <x:c r="J33" s="373" t="str">
        <x:v>https://github.com/Ny-Panha/Koupreng-invitation_project/commit/159e649</x:v>
      </x:c>
    </x:row>
    <x:row r="34" ht="32" customHeight="1">
      <x:c r="A34" s="370" t="n">
        <x:v>30</x:v>
      </x:c>
      <x:c r="B34" s="371" t="n">
        <x:v>46241</x:v>
      </x:c>
      <x:c r="C34" s="388" t="str">
        <x:v>កឿង វីរៈ</x:v>
      </x:c>
      <x:c r="D34" s="329" t="str">
        <x:v>KoeurngVireakk</x:v>
      </x:c>
      <x:c r="E34" s="329" t="str">
        <x:v>Commit</x:v>
      </x:c>
      <x:c r="F34" s="329" t="str">
        <x:v>65c5e82</x:v>
      </x:c>
      <x:c r="G34" s="372" t="str">
        <x:v>Checkpoint local work before merge</x:v>
      </x:c>
      <x:c r="H34" s="372" t="str">
        <x:v>On main / traceable</x:v>
      </x:c>
      <x:c r="I34" s="372" t="str">
        <x:v>Commit history evidence</x:v>
      </x:c>
      <x:c r="J34" s="373" t="str">
        <x:v>https://github.com/Ny-Panha/Koupreng-invitation_project/commit/65c5e82</x:v>
      </x:c>
    </x:row>
    <x:row r="35" ht="32" customHeight="1">
      <x:c r="A35" s="370" t="n">
        <x:v>31</x:v>
      </x:c>
      <x:c r="B35" s="371" t="n">
        <x:v>46224</x:v>
      </x:c>
      <x:c r="C35" s="388" t="str">
        <x:v>កឿង វីរៈ</x:v>
      </x:c>
      <x:c r="D35" s="329" t="str">
        <x:v>KoeurngVireakk</x:v>
      </x:c>
      <x:c r="E35" s="329" t="str">
        <x:v>Commit</x:v>
      </x:c>
      <x:c r="F35" s="329" t="str">
        <x:v>405e8a2</x:v>
      </x:c>
      <x:c r="G35" s="372" t="str">
        <x:v>Separate backend static analysis gate</x:v>
      </x:c>
      <x:c r="H35" s="372" t="str">
        <x:v>On main / traceable</x:v>
      </x:c>
      <x:c r="I35" s="372" t="str">
        <x:v>Commit history evidence</x:v>
      </x:c>
      <x:c r="J35" s="373" t="str">
        <x:v>https://github.com/Ny-Panha/Koupreng-invitation_project/commit/405e8a2</x:v>
      </x:c>
    </x:row>
    <x:row r="36" ht="32" customHeight="1">
      <x:c r="A36" s="370" t="n">
        <x:v>32</x:v>
      </x:c>
      <x:c r="B36" s="371" t="n">
        <x:v>46224</x:v>
      </x:c>
      <x:c r="C36" s="388" t="str">
        <x:v>កឿង វីរៈ</x:v>
      </x:c>
      <x:c r="D36" s="329" t="str">
        <x:v>KoeurngVireakk</x:v>
      </x:c>
      <x:c r="E36" s="329" t="str">
        <x:v>Commit</x:v>
      </x:c>
      <x:c r="F36" s="329" t="str">
        <x:v>73c2266</x:v>
      </x:c>
      <x:c r="G36" s="372" t="str">
        <x:v>Restore complete deletion evidence</x:v>
      </x:c>
      <x:c r="H36" s="372" t="str">
        <x:v>On main / traceable</x:v>
      </x:c>
      <x:c r="I36" s="372" t="str">
        <x:v>Commit history evidence</x:v>
      </x:c>
      <x:c r="J36" s="373" t="str">
        <x:v>https://github.com/Ny-Panha/Koupreng-invitation_project/commit/73c2266</x:v>
      </x:c>
    </x:row>
    <x:row r="37" ht="32" customHeight="1">
      <x:c r="A37" s="370" t="n">
        <x:v>33</x:v>
      </x:c>
      <x:c r="B37" s="371" t="n">
        <x:v>46224</x:v>
      </x:c>
      <x:c r="C37" s="388" t="str">
        <x:v>កឿង វីរៈ</x:v>
      </x:c>
      <x:c r="D37" s="329" t="str">
        <x:v>KoeurngVireakk</x:v>
      </x:c>
      <x:c r="E37" s="329" t="str">
        <x:v>Commit</x:v>
      </x:c>
      <x:c r="F37" s="329" t="str">
        <x:v>71bb374</x:v>
      </x:c>
      <x:c r="G37" s="372" t="str">
        <x:v>Align asset report deliverable name</x:v>
      </x:c>
      <x:c r="H37" s="372" t="str">
        <x:v>On main / traceable</x:v>
      </x:c>
      <x:c r="I37" s="372" t="str">
        <x:v>Commit history evidence</x:v>
      </x:c>
      <x:c r="J37" s="373" t="str">
        <x:v>https://github.com/Ny-Panha/Koupreng-invitation_project/commit/71bb374</x:v>
      </x:c>
    </x:row>
    <x:row r="38" ht="32" customHeight="1">
      <x:c r="A38" s="370" t="n">
        <x:v>34</x:v>
      </x:c>
      <x:c r="B38" s="371" t="n">
        <x:v>46224</x:v>
      </x:c>
      <x:c r="C38" s="388" t="str">
        <x:v>កឿង វីរៈ</x:v>
      </x:c>
      <x:c r="D38" s="329" t="str">
        <x:v>KoeurngVireakk</x:v>
      </x:c>
      <x:c r="E38" s="329" t="str">
        <x:v>Commit</x:v>
      </x:c>
      <x:c r="F38" s="329" t="str">
        <x:v>89e060a</x:v>
      </x:c>
      <x:c r="G38" s="372" t="str">
        <x:v>Avoid secret-shaped auth fixture</x:v>
      </x:c>
      <x:c r="H38" s="372" t="str">
        <x:v>On main / traceable</x:v>
      </x:c>
      <x:c r="I38" s="372" t="str">
        <x:v>Commit history evidence</x:v>
      </x:c>
      <x:c r="J38" s="373" t="str">
        <x:v>https://github.com/Ny-Panha/Koupreng-invitation_project/commit/89e060a</x:v>
      </x:c>
    </x:row>
    <x:row r="39" ht="32" customHeight="1">
      <x:c r="A39" s="370" t="n">
        <x:v>35</x:v>
      </x:c>
      <x:c r="B39" s="371" t="n">
        <x:v>46224</x:v>
      </x:c>
      <x:c r="C39" s="388" t="str">
        <x:v>កឿង វីរៈ</x:v>
      </x:c>
      <x:c r="D39" s="329" t="str">
        <x:v>KoeurngVireakk</x:v>
      </x:c>
      <x:c r="E39" s="329" t="str">
        <x:v>Commit</x:v>
      </x:c>
      <x:c r="F39" s="329" t="str">
        <x:v>438d345</x:v>
      </x:c>
      <x:c r="G39" s="372" t="str">
        <x:v>Record final browser evidence</x:v>
      </x:c>
      <x:c r="H39" s="372" t="str">
        <x:v>On main / traceable</x:v>
      </x:c>
      <x:c r="I39" s="372" t="str">
        <x:v>Commit history evidence</x:v>
      </x:c>
      <x:c r="J39" s="373" t="str">
        <x:v>https://github.com/Ny-Panha/Koupreng-invitation_project/commit/438d345</x:v>
      </x:c>
    </x:row>
    <x:row r="40" ht="32" customHeight="1">
      <x:c r="A40" s="370" t="n">
        <x:v>36</x:v>
      </x:c>
      <x:c r="B40" s="371" t="n">
        <x:v>46224</x:v>
      </x:c>
      <x:c r="C40" s="388" t="str">
        <x:v>កឿង វីរៈ</x:v>
      </x:c>
      <x:c r="D40" s="329" t="str">
        <x:v>KoeurngVireakk</x:v>
      </x:c>
      <x:c r="E40" s="329" t="str">
        <x:v>Commit</x:v>
      </x:c>
      <x:c r="F40" s="329" t="str">
        <x:v>4a9800e</x:v>
      </x:c>
      <x:c r="G40" s="372" t="str">
        <x:v>Enforce route smoke with Playwright</x:v>
      </x:c>
      <x:c r="H40" s="372" t="str">
        <x:v>On main / traceable</x:v>
      </x:c>
      <x:c r="I40" s="372" t="str">
        <x:v>Commit history evidence</x:v>
      </x:c>
      <x:c r="J40" s="373" t="str">
        <x:v>https://github.com/Ny-Panha/Koupreng-invitation_project/commit/4a9800e</x:v>
      </x:c>
    </x:row>
    <x:row r="41" ht="32" customHeight="1">
      <x:c r="A41" s="370" t="n">
        <x:v>37</x:v>
      </x:c>
      <x:c r="B41" s="371" t="n">
        <x:v>46224</x:v>
      </x:c>
      <x:c r="C41" s="388" t="str">
        <x:v>កឿង វីរៈ</x:v>
      </x:c>
      <x:c r="D41" s="329" t="str">
        <x:v>KoeurngVireakk</x:v>
      </x:c>
      <x:c r="E41" s="329" t="str">
        <x:v>Commit</x:v>
      </x:c>
      <x:c r="F41" s="329" t="str">
        <x:v>5b7125b</x:v>
      </x:c>
      <x:c r="G41" s="372" t="str">
        <x:v>Record cleanup evidence and release blockers</x:v>
      </x:c>
      <x:c r="H41" s="372" t="str">
        <x:v>On main / traceable</x:v>
      </x:c>
      <x:c r="I41" s="372" t="str">
        <x:v>Commit history evidence</x:v>
      </x:c>
      <x:c r="J41" s="373" t="str">
        <x:v>https://github.com/Ny-Panha/Koupreng-invitation_project/commit/5b7125b</x:v>
      </x:c>
    </x:row>
    <x:row r="42" ht="32" customHeight="1">
      <x:c r="A42" s="370" t="n">
        <x:v>38</x:v>
      </x:c>
      <x:c r="B42" s="371" t="n">
        <x:v>46224</x:v>
      </x:c>
      <x:c r="C42" s="388" t="str">
        <x:v>កឿង វីរៈ</x:v>
      </x:c>
      <x:c r="D42" s="329" t="str">
        <x:v>KoeurngVireakk</x:v>
      </x:c>
      <x:c r="E42" s="329" t="str">
        <x:v>Commit</x:v>
      </x:c>
      <x:c r="F42" s="329" t="str">
        <x:v>c49828e</x:v>
      </x:c>
      <x:c r="G42" s="372" t="str">
        <x:v>Refresh compatible frontend locks</x:v>
      </x:c>
      <x:c r="H42" s="372" t="str">
        <x:v>On main / traceable</x:v>
      </x:c>
      <x:c r="I42" s="372" t="str">
        <x:v>Commit history evidence</x:v>
      </x:c>
      <x:c r="J42" s="373" t="str">
        <x:v>https://github.com/Ny-Panha/Koupreng-invitation_project/commit/c49828e</x:v>
      </x:c>
    </x:row>
    <x:row r="43" ht="32" customHeight="1">
      <x:c r="A43" s="370" t="n">
        <x:v>39</x:v>
      </x:c>
      <x:c r="B43" s="371" t="n">
        <x:v>46224</x:v>
      </x:c>
      <x:c r="C43" s="388" t="str">
        <x:v>កឿង វីរៈ</x:v>
      </x:c>
      <x:c r="D43" s="329" t="str">
        <x:v>KoeurngVireakk</x:v>
      </x:c>
      <x:c r="E43" s="329" t="str">
        <x:v>Commit</x:v>
      </x:c>
      <x:c r="F43" s="329" t="str">
        <x:v>8ac78ee</x:v>
      </x:c>
      <x:c r="G43" s="372" t="str">
        <x:v>Enforce repository-wide quality gates</x:v>
      </x:c>
      <x:c r="H43" s="372" t="str">
        <x:v>On main / traceable</x:v>
      </x:c>
      <x:c r="I43" s="372" t="str">
        <x:v>Commit history evidence</x:v>
      </x:c>
      <x:c r="J43" s="373" t="str">
        <x:v>https://github.com/Ny-Panha/Koupreng-invitation_project/commit/8ac78ee</x:v>
      </x:c>
    </x:row>
    <x:row r="44" ht="32" customHeight="1">
      <x:c r="A44" s="370" t="n">
        <x:v>40</x:v>
      </x:c>
      <x:c r="B44" s="371" t="n">
        <x:v>46224</x:v>
      </x:c>
      <x:c r="C44" s="388" t="str">
        <x:v>កឿង វីរៈ</x:v>
      </x:c>
      <x:c r="D44" s="329" t="str">
        <x:v>KoeurngVireakk</x:v>
      </x:c>
      <x:c r="E44" s="329" t="str">
        <x:v>Commit</x:v>
      </x:c>
      <x:c r="F44" s="329" t="str">
        <x:v>df60f8b</x:v>
      </x:c>
      <x:c r="G44" s="372" t="str">
        <x:v>Enforce backend quality and migration gates</x:v>
      </x:c>
      <x:c r="H44" s="372" t="str">
        <x:v>On main / traceable</x:v>
      </x:c>
      <x:c r="I44" s="372" t="str">
        <x:v>Commit history evidence</x:v>
      </x:c>
      <x:c r="J44" s="373" t="str">
        <x:v>https://github.com/Ny-Panha/Koupreng-invitation_project/commit/df60f8b</x:v>
      </x:c>
    </x:row>
    <x:row r="45" ht="32" customHeight="1">
      <x:c r="A45" s="370" t="n">
        <x:v>41</x:v>
      </x:c>
      <x:c r="B45" s="371" t="n">
        <x:v>46224</x:v>
      </x:c>
      <x:c r="C45" s="388" t="str">
        <x:v>កឿង វីរៈ</x:v>
      </x:c>
      <x:c r="D45" s="329" t="str">
        <x:v>KoeurngVireakk</x:v>
      </x:c>
      <x:c r="E45" s="329" t="str">
        <x:v>Commit</x:v>
      </x:c>
      <x:c r="F45" s="329" t="str">
        <x:v>b604194</x:v>
      </x:c>
      <x:c r="G45" s="372" t="str">
        <x:v>Relocate and reconcile frontend source notes</x:v>
      </x:c>
      <x:c r="H45" s="372" t="str">
        <x:v>On main / traceable</x:v>
      </x:c>
      <x:c r="I45" s="372" t="str">
        <x:v>Commit history evidence</x:v>
      </x:c>
      <x:c r="J45" s="373" t="str">
        <x:v>https://github.com/Ny-Panha/Koupreng-invitation_project/commit/b604194</x:v>
      </x:c>
    </x:row>
    <x:row r="46" ht="32" customHeight="1">
      <x:c r="A46" s="370" t="n">
        <x:v>42</x:v>
      </x:c>
      <x:c r="B46" s="371" t="n">
        <x:v>46224</x:v>
      </x:c>
      <x:c r="C46" s="388" t="str">
        <x:v>កឿង វីរៈ</x:v>
      </x:c>
      <x:c r="D46" s="329" t="str">
        <x:v>KoeurngVireakk</x:v>
      </x:c>
      <x:c r="E46" s="329" t="str">
        <x:v>Commit</x:v>
      </x:c>
      <x:c r="F46" s="329" t="str">
        <x:v>6f0176b</x:v>
      </x:c>
      <x:c r="G46" s="372" t="str">
        <x:v>Organize reusable automation scripts</x:v>
      </x:c>
      <x:c r="H46" s="372" t="str">
        <x:v>On main / traceable</x:v>
      </x:c>
      <x:c r="I46" s="372" t="str">
        <x:v>Commit history evidence</x:v>
      </x:c>
      <x:c r="J46" s="373" t="str">
        <x:v>https://github.com/Ny-Panha/Koupreng-invitation_project/commit/6f0176b</x:v>
      </x:c>
    </x:row>
    <x:row r="47" ht="32" customHeight="1">
      <x:c r="A47" s="370" t="n">
        <x:v>43</x:v>
      </x:c>
      <x:c r="B47" s="371" t="n">
        <x:v>46224</x:v>
      </x:c>
      <x:c r="C47" s="388" t="str">
        <x:v>កឿង វីរៈ</x:v>
      </x:c>
      <x:c r="D47" s="329" t="str">
        <x:v>KoeurngVireakk</x:v>
      </x:c>
      <x:c r="E47" s="329" t="str">
        <x:v>Commit</x:v>
      </x:c>
      <x:c r="F47" s="329" t="str">
        <x:v>fd9a35e</x:v>
      </x:c>
      <x:c r="G47" s="372" t="str">
        <x:v>Consolidate routes and remove legacy code</x:v>
      </x:c>
      <x:c r="H47" s="372" t="str">
        <x:v>On main / traceable</x:v>
      </x:c>
      <x:c r="I47" s="372" t="str">
        <x:v>Commit history evidence</x:v>
      </x:c>
      <x:c r="J47" s="373" t="str">
        <x:v>https://github.com/Ny-Panha/Koupreng-invitation_project/commit/fd9a35e</x:v>
      </x:c>
    </x:row>
    <x:row r="48" ht="32" customHeight="1">
      <x:c r="A48" s="370" t="n">
        <x:v>44</x:v>
      </x:c>
      <x:c r="B48" s="371" t="n">
        <x:v>46224</x:v>
      </x:c>
      <x:c r="C48" s="388" t="str">
        <x:v>កឿង វីរៈ</x:v>
      </x:c>
      <x:c r="D48" s="329" t="str">
        <x:v>KoeurngVireakk</x:v>
      </x:c>
      <x:c r="E48" s="329" t="str">
        <x:v>Commit</x:v>
      </x:c>
      <x:c r="F48" s="329" t="str">
        <x:v>400c92d</x:v>
      </x:c>
      <x:c r="G48" s="372" t="str">
        <x:v>Remove generated files and unused media</x:v>
      </x:c>
      <x:c r="H48" s="372" t="str">
        <x:v>On main / traceable</x:v>
      </x:c>
      <x:c r="I48" s="372" t="str">
        <x:v>Commit history evidence</x:v>
      </x:c>
      <x:c r="J48" s="373" t="str">
        <x:v>https://github.com/Ny-Panha/Koupreng-invitation_project/commit/400c92d</x:v>
      </x:c>
    </x:row>
    <x:row r="49" ht="32" customHeight="1">
      <x:c r="A49" s="370" t="n">
        <x:v>45</x:v>
      </x:c>
      <x:c r="B49" s="371" t="n">
        <x:v>46224</x:v>
      </x:c>
      <x:c r="C49" s="388" t="str">
        <x:v>កឿង វីរៈ</x:v>
      </x:c>
      <x:c r="D49" s="329" t="str">
        <x:v>KoeurngVireakk</x:v>
      </x:c>
      <x:c r="E49" s="329" t="str">
        <x:v>Commit</x:v>
      </x:c>
      <x:c r="F49" s="329" t="str">
        <x:v>7e89241</x:v>
      </x:c>
      <x:c r="G49" s="372" t="str">
        <x:v>Remove exposed credentials and redact logs</x:v>
      </x:c>
      <x:c r="H49" s="372" t="str">
        <x:v>On main / traceable</x:v>
      </x:c>
      <x:c r="I49" s="372" t="str">
        <x:v>Commit history evidence</x:v>
      </x:c>
      <x:c r="J49" s="373" t="str">
        <x:v>https://github.com/Ny-Panha/Koupreng-invitation_project/commit/7e89241</x:v>
      </x:c>
    </x:row>
    <x:row r="50" ht="32" customHeight="1">
      <x:c r="A50" s="370" t="n">
        <x:v>46</x:v>
      </x:c>
      <x:c r="B50" s="371" t="n">
        <x:v>46211</x:v>
      </x:c>
      <x:c r="C50" s="388" t="str">
        <x:v>កឿង វីរៈ</x:v>
      </x:c>
      <x:c r="D50" s="329" t="str">
        <x:v>KoeurngVireakk</x:v>
      </x:c>
      <x:c r="E50" s="329" t="str">
        <x:v>Commit</x:v>
      </x:c>
      <x:c r="F50" s="329" t="str">
        <x:v>2ba8578</x:v>
      </x:c>
      <x:c r="G50" s="372" t="str">
        <x:v>Add cover Khmer golden wedding template</x:v>
      </x:c>
      <x:c r="H50" s="372" t="str">
        <x:v>On main / traceable</x:v>
      </x:c>
      <x:c r="I50" s="372" t="str">
        <x:v>Commit history evidence</x:v>
      </x:c>
      <x:c r="J50" s="373" t="str">
        <x:v>https://github.com/Ny-Panha/Koupreng-invitation_project/commit/2ba8578</x:v>
      </x:c>
    </x:row>
    <x:row r="51" ht="32" customHeight="1">
      <x:c r="A51" s="370" t="n">
        <x:v>47</x:v>
      </x:c>
      <x:c r="B51" s="371" t="n">
        <x:v>46210</x:v>
      </x:c>
      <x:c r="C51" s="388" t="str">
        <x:v>កឿង វីរៈ</x:v>
      </x:c>
      <x:c r="D51" s="329" t="str">
        <x:v>KoeurngVireakk</x:v>
      </x:c>
      <x:c r="E51" s="329" t="str">
        <x:v>Commit</x:v>
      </x:c>
      <x:c r="F51" s="329" t="str">
        <x:v>4c8d02b</x:v>
      </x:c>
      <x:c r="G51" s="372" t="str">
        <x:v>Add Khmer golden invitation template</x:v>
      </x:c>
      <x:c r="H51" s="372" t="str">
        <x:v>On main / traceable</x:v>
      </x:c>
      <x:c r="I51" s="372" t="str">
        <x:v>Commit history evidence</x:v>
      </x:c>
      <x:c r="J51" s="373" t="str">
        <x:v>https://github.com/Ny-Panha/Koupreng-invitation_project/commit/4c8d02b</x:v>
      </x:c>
    </x:row>
    <x:row r="52" ht="32" customHeight="1">
      <x:c r="A52" s="370" t="n">
        <x:v>48</x:v>
      </x:c>
      <x:c r="B52" s="371" t="n">
        <x:v>46206</x:v>
      </x:c>
      <x:c r="C52" s="388" t="str">
        <x:v>កឿង វីរៈ</x:v>
      </x:c>
      <x:c r="D52" s="329" t="str">
        <x:v>KoeurngVireakk</x:v>
      </x:c>
      <x:c r="E52" s="329" t="str">
        <x:v>Commit</x:v>
      </x:c>
      <x:c r="F52" s="329" t="str">
        <x:v>c6aa34e</x:v>
      </x:c>
      <x:c r="G52" s="372" t="str">
        <x:v>Harden Canva Khmer wedding renderer</x:v>
      </x:c>
      <x:c r="H52" s="372" t="str">
        <x:v>On main / traceable</x:v>
      </x:c>
      <x:c r="I52" s="372" t="str">
        <x:v>Commit history evidence</x:v>
      </x:c>
      <x:c r="J52" s="373" t="str">
        <x:v>https://github.com/Ny-Panha/Koupreng-invitation_project/commit/c6aa34e</x:v>
      </x:c>
    </x:row>
    <x:row r="53" ht="32" customHeight="1">
      <x:c r="A53" s="370" t="n">
        <x:v>49</x:v>
      </x:c>
      <x:c r="B53" s="371" t="n">
        <x:v>46206</x:v>
      </x:c>
      <x:c r="C53" s="388" t="str">
        <x:v>កឿង វីរៈ</x:v>
      </x:c>
      <x:c r="D53" s="329" t="str">
        <x:v>KoeurngVireakk</x:v>
      </x:c>
      <x:c r="E53" s="329" t="str">
        <x:v>Commit</x:v>
      </x:c>
      <x:c r="F53" s="329" t="str">
        <x:v>7f7c05c</x:v>
      </x:c>
      <x:c r="G53" s="372" t="str">
        <x:v>Add premium Canva Khmer wedding renderer</x:v>
      </x:c>
      <x:c r="H53" s="372" t="str">
        <x:v>On main / traceable</x:v>
      </x:c>
      <x:c r="I53" s="372" t="str">
        <x:v>Commit history evidence</x:v>
      </x:c>
      <x:c r="J53" s="373" t="str">
        <x:v>https://github.com/Ny-Panha/Koupreng-invitation_project/commit/7f7c05c</x:v>
      </x:c>
    </x:row>
    <x:row r="54" ht="32" customHeight="1">
      <x:c r="A54" s="370" t="n">
        <x:v>50</x:v>
      </x:c>
      <x:c r="B54" s="371" t="n">
        <x:v>46206</x:v>
      </x:c>
      <x:c r="C54" s="388" t="str">
        <x:v>កឿង វីរៈ</x:v>
      </x:c>
      <x:c r="D54" s="329" t="str">
        <x:v>KoeurngVireakk</x:v>
      </x:c>
      <x:c r="E54" s="329" t="str">
        <x:v>Commit</x:v>
      </x:c>
      <x:c r="F54" s="329" t="str">
        <x:v>e28c3b6</x:v>
      </x:c>
      <x:c r="G54" s="372" t="str">
        <x:v>Build premium Canva Khmer invitation</x:v>
      </x:c>
      <x:c r="H54" s="372" t="str">
        <x:v>On main / traceable</x:v>
      </x:c>
      <x:c r="I54" s="372" t="str">
        <x:v>Commit history evidence</x:v>
      </x:c>
      <x:c r="J54" s="373" t="str">
        <x:v>https://github.com/Ny-Panha/Koupreng-invitation_project/commit/e28c3b6</x:v>
      </x:c>
    </x:row>
    <x:row r="55" ht="32" customHeight="1">
      <x:c r="A55" s="370" t="n">
        <x:v>51</x:v>
      </x:c>
      <x:c r="B55" s="371" t="n">
        <x:v>46206</x:v>
      </x:c>
      <x:c r="C55" s="388" t="str">
        <x:v>កឿង វីរៈ</x:v>
      </x:c>
      <x:c r="D55" s="329" t="str">
        <x:v>KoeurngVireakk</x:v>
      </x:c>
      <x:c r="E55" s="329" t="str">
        <x:v>Commit</x:v>
      </x:c>
      <x:c r="F55" s="329" t="str">
        <x:v>1b1e62d</x:v>
      </x:c>
      <x:c r="G55" s="372" t="str">
        <x:v>Refine Canva Khmer wedding template</x:v>
      </x:c>
      <x:c r="H55" s="372" t="str">
        <x:v>On main / traceable</x:v>
      </x:c>
      <x:c r="I55" s="372" t="str">
        <x:v>Commit history evidence</x:v>
      </x:c>
      <x:c r="J55" s="373" t="str">
        <x:v>https://github.com/Ny-Panha/Koupreng-invitation_project/commit/1b1e62d</x:v>
      </x:c>
    </x:row>
    <x:row r="56" ht="32" customHeight="1">
      <x:c r="A56" s="370" t="n">
        <x:v>52</x:v>
      </x:c>
      <x:c r="B56" s="371" t="n">
        <x:v>46206</x:v>
      </x:c>
      <x:c r="C56" s="388" t="str">
        <x:v>កឿង វីរៈ</x:v>
      </x:c>
      <x:c r="D56" s="329" t="str">
        <x:v>KoeurngVireakk</x:v>
      </x:c>
      <x:c r="E56" s="329" t="str">
        <x:v>Commit</x:v>
      </x:c>
      <x:c r="F56" s="329" t="str">
        <x:v>d2f6b01</x:v>
      </x:c>
      <x:c r="G56" s="372" t="str">
        <x:v>Add dynamic Canva Khmer wedding template</x:v>
      </x:c>
      <x:c r="H56" s="372" t="str">
        <x:v>On main / traceable</x:v>
      </x:c>
      <x:c r="I56" s="372" t="str">
        <x:v>Commit history evidence</x:v>
      </x:c>
      <x:c r="J56" s="373" t="str">
        <x:v>https://github.com/Ny-Panha/Koupreng-invitation_project/commit/d2f6b01</x:v>
      </x:c>
    </x:row>
    <x:row r="57" ht="32" customHeight="1">
      <x:c r="A57" s="370" t="n">
        <x:v>53</x:v>
      </x:c>
      <x:c r="B57" s="371" t="n">
        <x:v>46206</x:v>
      </x:c>
      <x:c r="C57" s="388" t="str">
        <x:v>កឿង វីរៈ</x:v>
      </x:c>
      <x:c r="D57" s="329" t="str">
        <x:v>KoeurngVireakk</x:v>
      </x:c>
      <x:c r="E57" s="329" t="str">
        <x:v>Commit</x:v>
      </x:c>
      <x:c r="F57" s="329" t="str">
        <x:v>970e190</x:v>
      </x:c>
      <x:c r="G57" s="372" t="str">
        <x:v>Enhance location section with loading state and fallback UI</x:v>
      </x:c>
      <x:c r="H57" s="372" t="str">
        <x:v>On main / traceable</x:v>
      </x:c>
      <x:c r="I57" s="372" t="str">
        <x:v>Commit history evidence</x:v>
      </x:c>
      <x:c r="J57" s="373" t="str">
        <x:v>https://github.com/Ny-Panha/Koupreng-invitation_project/commit/970e190</x:v>
      </x:c>
    </x:row>
    <x:row r="58" ht="32" customHeight="1">
      <x:c r="A58" s="370" t="n">
        <x:v>54</x:v>
      </x:c>
      <x:c r="B58" s="371" t="n">
        <x:v>46206</x:v>
      </x:c>
      <x:c r="C58" s="388" t="str">
        <x:v>កឿង វីរៈ</x:v>
      </x:c>
      <x:c r="D58" s="329" t="str">
        <x:v>KoeurngVireakk</x:v>
      </x:c>
      <x:c r="E58" s="329" t="str">
        <x:v>Commit</x:v>
      </x:c>
      <x:c r="F58" s="329" t="str">
        <x:v>3619740</x:v>
      </x:c>
      <x:c r="G58" s="372" t="str">
        <x:v>Add Garden Royal Sambot CSS styles for template experience</x:v>
      </x:c>
      <x:c r="H58" s="372" t="str">
        <x:v>On main / traceable</x:v>
      </x:c>
      <x:c r="I58" s="372" t="str">
        <x:v>Commit history evidence</x:v>
      </x:c>
      <x:c r="J58" s="373" t="str">
        <x:v>https://github.com/Ny-Panha/Koupreng-invitation_project/commit/3619740</x:v>
      </x:c>
    </x:row>
    <x:row r="59" ht="32" customHeight="1">
      <x:c r="A59" s="370" t="n">
        <x:v>55</x:v>
      </x:c>
      <x:c r="B59" s="371" t="n">
        <x:v>46273</x:v>
      </x:c>
      <x:c r="C59" s="386" t="str">
        <x:v>នី បញ្ញា</x:v>
      </x:c>
      <x:c r="D59" s="329" t="str">
        <x:v>Ny-Panha</x:v>
      </x:c>
      <x:c r="E59" s="329" t="str">
        <x:v>Commit</x:v>
      </x:c>
      <x:c r="F59" s="329" t="str">
        <x:v>59eec270</x:v>
      </x:c>
      <x:c r="G59" s="372" t="str">
        <x:v>Fix template live preview sync and curtain gate overlay</x:v>
      </x:c>
      <x:c r="H59" s="372" t="str">
        <x:v>On main / traceable</x:v>
      </x:c>
      <x:c r="I59" s="372" t="str">
        <x:v>Commit history evidence</x:v>
      </x:c>
      <x:c r="J59" s="373" t="str">
        <x:v>https://github.com/Ny-Panha/Koupreng-invitation_project/commit/59eec270</x:v>
      </x:c>
    </x:row>
    <x:row r="60" ht="32" customHeight="1">
      <x:c r="A60" s="370" t="n">
        <x:v>56</x:v>
      </x:c>
      <x:c r="B60" s="371" t="n">
        <x:v>46273</x:v>
      </x:c>
      <x:c r="C60" s="386" t="str">
        <x:v>នី បញ្ញា</x:v>
      </x:c>
      <x:c r="D60" s="329" t="str">
        <x:v>Ny-Panha</x:v>
      </x:c>
      <x:c r="E60" s="329" t="str">
        <x:v>Commit</x:v>
      </x:c>
      <x:c r="F60" s="329" t="str">
        <x:v>c7512d6f</x:v>
      </x:c>
      <x:c r="G60" s="372" t="str">
        <x:v>Add team Git automation scripts to prevent code collisions</x:v>
      </x:c>
      <x:c r="H60" s="372" t="str">
        <x:v>On main / traceable</x:v>
      </x:c>
      <x:c r="I60" s="372" t="str">
        <x:v>Commit history evidence</x:v>
      </x:c>
      <x:c r="J60" s="373" t="str">
        <x:v>https://github.com/Ny-Panha/Koupreng-invitation_project/commit/c7512d6f</x:v>
      </x:c>
    </x:row>
    <x:row r="61" ht="32" customHeight="1">
      <x:c r="A61" s="370" t="n">
        <x:v>57</x:v>
      </x:c>
      <x:c r="B61" s="371" t="n">
        <x:v>46271</x:v>
      </x:c>
      <x:c r="C61" s="386" t="str">
        <x:v>នី បញ្ញា</x:v>
      </x:c>
      <x:c r="D61" s="329" t="str">
        <x:v>Ny-Panha</x:v>
      </x:c>
      <x:c r="E61" s="329" t="str">
        <x:v>Commit</x:v>
      </x:c>
      <x:c r="F61" s="329" t="str">
        <x:v>d484ad24</x:v>
      </x:c>
      <x:c r="G61" s="372" t="str">
        <x:v>Enhance seating floor plan with Canva-style canvas, auto-arrange, anti-overlap and 100-table support</x:v>
      </x:c>
      <x:c r="H61" s="372" t="str">
        <x:v>On main / traceable</x:v>
      </x:c>
      <x:c r="I61" s="372" t="str">
        <x:v>Commit history evidence</x:v>
      </x:c>
      <x:c r="J61" s="373" t="str">
        <x:v>https://github.com/Ny-Panha/Koupreng-invitation_project/commit/d484ad24</x:v>
      </x:c>
    </x:row>
    <x:row r="62" ht="32" customHeight="1">
      <x:c r="A62" s="370" t="n">
        <x:v>58</x:v>
      </x:c>
      <x:c r="B62" s="371" t="n">
        <x:v>46268</x:v>
      </x:c>
      <x:c r="C62" s="386" t="str">
        <x:v>នី បញ្ញា</x:v>
      </x:c>
      <x:c r="D62" s="329" t="str">
        <x:v>Ny-Panha</x:v>
      </x:c>
      <x:c r="E62" s="329" t="str">
        <x:v>Commit</x:v>
      </x:c>
      <x:c r="F62" s="329" t="str">
        <x:v>36332bd5</x:v>
      </x:c>
      <x:c r="G62" s="372" t="str">
        <x:v>Modularize features; update wedding builder/templates/backend test suites</x:v>
      </x:c>
      <x:c r="H62" s="372" t="str">
        <x:v>On main / traceable</x:v>
      </x:c>
      <x:c r="I62" s="372" t="str">
        <x:v>Commit history evidence</x:v>
      </x:c>
      <x:c r="J62" s="373" t="str">
        <x:v>https://github.com/Ny-Panha/Koupreng-invitation_project/commit/36332bd5</x:v>
      </x:c>
    </x:row>
    <x:row r="63" ht="32" customHeight="1">
      <x:c r="A63" s="370" t="n">
        <x:v>59</x:v>
      </x:c>
      <x:c r="B63" s="371" t="n">
        <x:v>46265</x:v>
      </x:c>
      <x:c r="C63" s="386" t="str">
        <x:v>នី បញ្ញា</x:v>
      </x:c>
      <x:c r="D63" s="329" t="str">
        <x:v>Ny-Panha</x:v>
      </x:c>
      <x:c r="E63" s="329" t="str">
        <x:v>Commit</x:v>
      </x:c>
      <x:c r="F63" s="329" t="str">
        <x:v>d61d7b1a</x:v>
      </x:c>
      <x:c r="G63" s="372" t="str">
        <x:v>Fix dashboard 404 draft errors; polish template catalog and dashboard UI</x:v>
      </x:c>
      <x:c r="H63" s="372" t="str">
        <x:v>On main / traceable</x:v>
      </x:c>
      <x:c r="I63" s="372" t="str">
        <x:v>Commit history evidence</x:v>
      </x:c>
      <x:c r="J63" s="373" t="str">
        <x:v>https://github.com/Ny-Panha/Koupreng-invitation_project/commit/d61d7b1a</x:v>
      </x:c>
    </x:row>
    <x:row r="64" ht="32" customHeight="1">
      <x:c r="A64" s="370" t="n">
        <x:v>60</x:v>
      </x:c>
      <x:c r="B64" s="371" t="n">
        <x:v>46265</x:v>
      </x:c>
      <x:c r="C64" s="386" t="str">
        <x:v>នី បញ្ញា</x:v>
      </x:c>
      <x:c r="D64" s="329" t="str">
        <x:v>Ny-Panha</x:v>
      </x:c>
      <x:c r="E64" s="329" t="str">
        <x:v>Commit</x:v>
      </x:c>
      <x:c r="F64" s="329" t="str">
        <x:v>bafbcace</x:v>
      </x:c>
      <x:c r="G64" s="372" t="str">
        <x:v>Update project features and improvements</x:v>
      </x:c>
      <x:c r="H64" s="372" t="str">
        <x:v>On main / traceable</x:v>
      </x:c>
      <x:c r="I64" s="372" t="str">
        <x:v>Commit history evidence</x:v>
      </x:c>
      <x:c r="J64" s="373" t="str">
        <x:v>https://github.com/Ny-Panha/Koupreng-invitation_project/commit/bafbcace</x:v>
      </x:c>
    </x:row>
    <x:row r="65" ht="32" customHeight="1">
      <x:c r="A65" s="370" t="n">
        <x:v>61</x:v>
      </x:c>
      <x:c r="B65" s="371" t="n">
        <x:v>46273</x:v>
      </x:c>
      <x:c r="C65" s="396" t="str">
        <x:v>ឡាំ គីមឡុង</x:v>
      </x:c>
      <x:c r="D65" s="329" t="str">
        <x:v>Kimlong1610</x:v>
      </x:c>
      <x:c r="E65" s="329" t="str">
        <x:v>Commit</x:v>
      </x:c>
      <x:c r="F65" s="329" t="str">
        <x:v>4e451cf6</x:v>
      </x:c>
      <x:c r="G65" s="372" t="str">
        <x:v>Merge branch main of project repository</x:v>
      </x:c>
      <x:c r="H65" s="372" t="str">
        <x:v>On main / traceable</x:v>
      </x:c>
      <x:c r="I65" s="372" t="str">
        <x:v>Commit history evidence</x:v>
      </x:c>
      <x:c r="J65" s="373" t="str">
        <x:v>https://github.com/Ny-Panha/Koupreng-invitation_project/commit/4e451cf6</x:v>
      </x:c>
    </x:row>
    <x:row r="66" ht="32" customHeight="1">
      <x:c r="A66" s="370" t="n">
        <x:v>62</x:v>
      </x:c>
      <x:c r="B66" s="371" t="n">
        <x:v>46273</x:v>
      </x:c>
      <x:c r="C66" s="396" t="str">
        <x:v>ឡាំ គីមឡុង</x:v>
      </x:c>
      <x:c r="D66" s="329" t="str">
        <x:v>Kimlong1610</x:v>
      </x:c>
      <x:c r="E66" s="329" t="str">
        <x:v>Commit</x:v>
      </x:c>
      <x:c r="F66" s="329" t="str">
        <x:v>468024ee</x:v>
      </x:c>
      <x:c r="G66" s="372" t="str">
        <x:v>Enable Swagger UI and update API documentation settings</x:v>
      </x:c>
      <x:c r="H66" s="372" t="str">
        <x:v>On main / traceable</x:v>
      </x:c>
      <x:c r="I66" s="372" t="str">
        <x:v>Commit history evidence</x:v>
      </x:c>
      <x:c r="J66" s="373" t="str">
        <x:v>https://github.com/Ny-Panha/Koupreng-invitation_project/commit/468024ee</x:v>
      </x:c>
    </x:row>
    <x:row r="67" ht="32" customHeight="1">
      <x:c r="A67" s="370" t="n">
        <x:v>63</x:v>
      </x:c>
      <x:c r="B67" s="371" t="n">
        <x:v>46272</x:v>
      </x:c>
      <x:c r="C67" s="396" t="str">
        <x:v>ឡាំ គីមឡុង</x:v>
      </x:c>
      <x:c r="D67" s="329" t="str">
        <x:v>Kimlong1610</x:v>
      </x:c>
      <x:c r="E67" s="329" t="str">
        <x:v>Commit</x:v>
      </x:c>
      <x:c r="F67" s="329" t="str">
        <x:v>4d6f27b6</x:v>
      </x:c>
      <x:c r="G67" s="372" t="str">
        <x:v>Add Scalar API portal and development fixtures</x:v>
      </x:c>
      <x:c r="H67" s="372" t="str">
        <x:v>On main / traceable</x:v>
      </x:c>
      <x:c r="I67" s="372" t="str">
        <x:v>Commit history evidence</x:v>
      </x:c>
      <x:c r="J67" s="373" t="str">
        <x:v>https://github.com/Ny-Panha/Koupreng-invitation_project/commit/4d6f27b6</x:v>
      </x:c>
    </x:row>
    <x:row r="68" ht="32" customHeight="1">
      <x:c r="A68" s="370" t="n">
        <x:v>64</x:v>
      </x:c>
      <x:c r="B68" s="371" t="n">
        <x:v>46272</x:v>
      </x:c>
      <x:c r="C68" s="396" t="str">
        <x:v>ឡាំ គីមឡុង</x:v>
      </x:c>
      <x:c r="D68" s="329" t="str">
        <x:v>Kimlong1610</x:v>
      </x:c>
      <x:c r="E68" s="329" t="str">
        <x:v>Commit</x:v>
      </x:c>
      <x:c r="F68" s="329" t="str">
        <x:v>3dc60b38</x:v>
      </x:c>
      <x:c r="G68" s="372" t="str">
        <x:v>Resolve backend static analysis findings</x:v>
      </x:c>
      <x:c r="H68" s="372" t="str">
        <x:v>On main / traceable</x:v>
      </x:c>
      <x:c r="I68" s="372" t="str">
        <x:v>Commit history evidence</x:v>
      </x:c>
      <x:c r="J68" s="373" t="str">
        <x:v>https://github.com/Ny-Panha/Koupreng-invitation_project/commit/3dc60b38</x:v>
      </x:c>
    </x:row>
    <x:row r="69" ht="32" customHeight="1">
      <x:c r="A69" s="370" t="n">
        <x:v>65</x:v>
      </x:c>
      <x:c r="B69" s="371" t="n">
        <x:v>46272</x:v>
      </x:c>
      <x:c r="C69" s="396" t="str">
        <x:v>ឡាំ គីមឡុង</x:v>
      </x:c>
      <x:c r="D69" s="329" t="str">
        <x:v>Kimlong1610</x:v>
      </x:c>
      <x:c r="E69" s="329" t="str">
        <x:v>Commit</x:v>
      </x:c>
      <x:c r="F69" s="329" t="str">
        <x:v>17575f41</x:v>
      </x:c>
      <x:c r="G69" s="372" t="str">
        <x:v>Add secure OpenAPI documentation</x:v>
      </x:c>
      <x:c r="H69" s="372" t="str">
        <x:v>On main / traceable</x:v>
      </x:c>
      <x:c r="I69" s="372" t="str">
        <x:v>Commit history evidence</x:v>
      </x:c>
      <x:c r="J69" s="373" t="str">
        <x:v>https://github.com/Ny-Panha/Koupreng-invitation_project/commit/17575f41</x:v>
      </x:c>
    </x:row>
    <x:row r="70" ht="32" customHeight="1">
      <x:c r="A70" s="374" t="n">
        <x:v>66</x:v>
      </x:c>
      <x:c r="B70" s="375" t="n">
        <x:v>46260</x:v>
      </x:c>
      <x:c r="C70" s="390" t="str">
        <x:v>ឡាំ គីមឡុង</x:v>
      </x:c>
      <x:c r="D70" s="335" t="str">
        <x:v>Kimlong1610</x:v>
      </x:c>
      <x:c r="E70" s="335" t="str">
        <x:v>Commit</x:v>
      </x:c>
      <x:c r="F70" s="335" t="str">
        <x:v>481ab541</x:v>
      </x:c>
      <x:c r="G70" s="376" t="str">
        <x:v>Improve storage handling for legacy session auth and initial state reading</x:v>
      </x:c>
      <x:c r="H70" s="376" t="str">
        <x:v>On main / traceable</x:v>
      </x:c>
      <x:c r="I70" s="376" t="str">
        <x:v>Commit history evidence</x:v>
      </x:c>
      <x:c r="J70" s="377" t="str">
        <x:v>https://github.com/Ny-Panha/Koupreng-invitation_project/commit/481ab541</x:v>
      </x:c>
    </x:row>
    <x:row r="72" ht="38" customHeight="1">
      <x:c r="A72" s="400" t="str">
        <x:v>សម្គាល់៖ មិនទាន់រកឃើញ GitHub identity ដែលអាចផ្ទៀងផ្ទាត់ដោយទំនុកចិត្តសម្រាប់ គក់ ស្រីផ្កាយ, រ៉ាន់ ណារ៉ាត់ និង គុយ ដាលី។ កុំសន្និដ្ឋានថាពួកគេមិនបានចូលរួម; ត្រូវប្រើ Assignment, Meeting, Documentation, Demo ឬ Evidence ផ្សេងៗសម្រាប់ Audit។</x:v>
      </x:c>
      <x:c r="B72" s="400"/>
      <x:c r="C72" s="400"/>
      <x:c r="D72" s="400"/>
      <x:c r="E72" s="400"/>
      <x:c r="F72" s="400"/>
      <x:c r="G72" s="400"/>
      <x:c r="H72" s="400"/>
      <x:c r="I72" s="400"/>
      <x:c r="J72" s="400"/>
    </x:row>
  </x:sheetData>
  <x:mergeCells>
    <x:mergeCell ref="A1:J1"/>
    <x:mergeCell ref="A2:J2"/>
    <x:mergeCell ref="A72:J7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32" hidden="0" customWidth="1"/>
    <x:col min="4" max="4" width="52" hidden="0" customWidth="1"/>
    <x:col min="5" max="5" width="16" hidden="0" customWidth="1"/>
    <x:col min="6" max="6" width="44" hidden="0" customWidth="1"/>
    <x:col min="7" max="7" width="14" hidden="0" customWidth="1"/>
    <x:col min="8" max="8" width="36" hidden="0" customWidth="1"/>
  </x:cols>
  <x:sheetData>
    <x:row r="1" ht="30" customHeight="1">
      <x:c r="A1" s="5" t="str">
        <x:v>ស្ថានភាព QA/QC ភស្តុតាង និង Release Blockers</x:v>
      </x:c>
      <x:c r="B1" s="5"/>
      <x:c r="C1" s="5"/>
      <x:c r="D1" s="5"/>
      <x:c r="E1" s="5"/>
      <x:c r="F1" s="5"/>
      <x:c r="G1" s="5"/>
      <x:c r="H1" s="5"/>
    </x:row>
    <x:row r="2" ht="32" customHeight="1">
      <x:c r="A2" s="393" t="str">
        <x:v>QA evidence date: 21-Jul-2026 | Repository history reviewed through 08-Sep-2026 | ត្រូវ rerun full verification មុន Final Submission 01-Dec-2026</x:v>
      </x:c>
      <x:c r="B2" s="393"/>
      <x:c r="C2" s="393"/>
      <x:c r="D2" s="393"/>
      <x:c r="E2" s="393"/>
      <x:c r="F2" s="393"/>
      <x:c r="G2" s="393"/>
      <x:c r="H2" s="393"/>
    </x:row>
    <x:row r="4" ht="34" customHeight="1">
      <x:c r="A4" s="184" t="str">
        <x:v>ល.រ</x:v>
      </x:c>
      <x:c r="B4" s="185" t="str">
        <x:v>ផ្នែក QA/QC</x:v>
      </x:c>
      <x:c r="C4" s="185" t="str">
        <x:v>ការត្រួតពិនិត្យ / Command</x:v>
      </x:c>
      <x:c r="D4" s="185" t="str">
        <x:v>លទ្ធផល Evidence 21-Jul-2026</x:v>
      </x:c>
      <x:c r="E4" s="185" t="str">
        <x:v>ស្ថានភាព</x:v>
      </x:c>
      <x:c r="F4" s="185" t="str">
        <x:v>ចំណុចត្រូវធ្វើបន្ទាប់</x:v>
      </x:c>
      <x:c r="G4" s="185" t="str">
        <x:v>Target</x:v>
      </x:c>
      <x:c r="H4" s="186" t="str">
        <x:v>Reference</x:v>
      </x:c>
    </x:row>
    <x:row r="5" ht="38" customHeight="1">
      <x:c r="A5" s="370" t="n">
        <x:v>1</x:v>
      </x:c>
      <x:c r="B5" s="372" t="str">
        <x:v>Backend Full Gate</x:v>
      </x:c>
      <x:c r="C5" s="329" t="str">
        <x:v>mvnw clean verify</x:v>
      </x:c>
      <x:c r="D5" s="329" t="str">
        <x:v>PASS: 128 tests, 0 failures/errors, 1 opt-in skip; JaCoCo; SpotBugs High 0; PMD 0</x:v>
      </x:c>
      <x:c r="E5" s="388" t="str">
        <x:v>PASS</x:v>
      </x:c>
      <x:c r="F5" s="372" t="str">
        <x:v>Rerun against final code</x:v>
      </x:c>
      <x:c r="G5" s="372" t="str">
        <x:v>01-Dec-2026</x:v>
      </x:c>
      <x:c r="H5" s="373" t="str">
        <x:v>docs/qa/verification-results.md</x:v>
      </x:c>
    </x:row>
    <x:row r="6" ht="38" customHeight="1">
      <x:c r="A6" s="370" t="n">
        <x:v>2</x:v>
      </x:c>
      <x:c r="B6" s="372" t="str">
        <x:v>Backend Security Focus</x:v>
      </x:c>
      <x:c r="C6" s="329" t="str">
        <x:v>Selected security/reset/logging tests</x:v>
      </x:c>
      <x:c r="D6" s="329" t="str">
        <x:v>PASS: 6 tests</x:v>
      </x:c>
      <x:c r="E6" s="388" t="str">
        <x:v>PASS</x:v>
      </x:c>
      <x:c r="F6" s="372" t="str">
        <x:v>Rerun after security remediation</x:v>
      </x:c>
      <x:c r="G6" s="372" t="str">
        <x:v>01-Dec-2026</x:v>
      </x:c>
      <x:c r="H6" s="373" t="str">
        <x:v>docs/qa/verification-results.md</x:v>
      </x:c>
    </x:row>
    <x:row r="7" ht="38" customHeight="1">
      <x:c r="A7" s="370" t="n">
        <x:v>3</x:v>
      </x:c>
      <x:c r="B7" s="372" t="str">
        <x:v>Fresh MySQL + Flyway</x:v>
      </x:c>
      <x:c r="C7" s="329" t="str">
        <x:v>FreshDatabaseMigrationTests</x:v>
      </x:c>
      <x:c r="D7" s="329" t="str">
        <x:v>PASS: 15 migrations; ddl-auto=validate</x:v>
      </x:c>
      <x:c r="E7" s="388" t="str">
        <x:v>PASS</x:v>
      </x:c>
      <x:c r="F7" s="372" t="str">
        <x:v>Normalize migration naming only by approved forward strategy</x:v>
      </x:c>
      <x:c r="G7" s="372" t="str">
        <x:v>Before final</x:v>
      </x:c>
      <x:c r="H7" s="373" t="str">
        <x:v>docs/qa/verification-results.md</x:v>
      </x:c>
    </x:row>
    <x:row r="8" ht="38" customHeight="1">
      <x:c r="A8" s="370" t="n">
        <x:v>4</x:v>
      </x:c>
      <x:c r="B8" s="372" t="str">
        <x:v>User Frontend</x:v>
      </x:c>
      <x:c r="C8" s="329" t="str">
        <x:v>lint + Vitest + Knip + depcheck + Vite build</x:v>
      </x:c>
      <x:c r="D8" s="329" t="str">
        <x:v>PASS; 724 modules; JS bundle above Vite 500k warning</x:v>
      </x:c>
      <x:c r="E8" s="404" t="str">
        <x:v>PASS / Warning</x:v>
      </x:c>
      <x:c r="F8" s="372" t="str">
        <x:v>Review code-splitting/performance budget</x:v>
      </x:c>
      <x:c r="G8" s="372" t="str">
        <x:v>17-Nov-2026</x:v>
      </x:c>
      <x:c r="H8" s="373" t="str">
        <x:v>docs/qa/verification-results.md</x:v>
      </x:c>
    </x:row>
    <x:row r="9" ht="38" customHeight="1">
      <x:c r="A9" s="370" t="n">
        <x:v>5</x:v>
      </x:c>
      <x:c r="B9" s="372" t="str">
        <x:v>Admin Frontend</x:v>
      </x:c>
      <x:c r="C9" s="329" t="str">
        <x:v>lint + Vitest + Knip + depcheck + Vite build</x:v>
      </x:c>
      <x:c r="D9" s="329" t="str">
        <x:v>PASS</x:v>
      </x:c>
      <x:c r="E9" s="388" t="str">
        <x:v>PASS</x:v>
      </x:c>
      <x:c r="F9" s="372" t="str">
        <x:v>Rerun final build</x:v>
      </x:c>
      <x:c r="G9" s="372" t="str">
        <x:v>01-Dec-2026</x:v>
      </x:c>
      <x:c r="H9" s="373" t="str">
        <x:v>docs/qa/verification-results.md</x:v>
      </x:c>
    </x:row>
    <x:row r="10" ht="38" customHeight="1">
      <x:c r="A10" s="370" t="n">
        <x:v>6</x:v>
      </x:c>
      <x:c r="B10" s="372" t="str">
        <x:v>Browser E2E</x:v>
      </x:c>
      <x:c r="C10" s="329" t="str">
        <x:v>Playwright desktop Chromium + Pixel 7</x:v>
      </x:c>
      <x:c r="D10" s="329" t="str">
        <x:v>PASS: 52 tests; 8 critical journeys + 44 route-smoke</x:v>
      </x:c>
      <x:c r="E10" s="388" t="str">
        <x:v>PASS</x:v>
      </x:c>
      <x:c r="F10" s="372" t="str">
        <x:v>Run full staging E2E against real services</x:v>
      </x:c>
      <x:c r="G10" s="372" t="str">
        <x:v>10-Nov-2026</x:v>
      </x:c>
      <x:c r="H10" s="373" t="str">
        <x:v>docs/qa/verification-results.md</x:v>
      </x:c>
    </x:row>
    <x:row r="11" ht="38" customHeight="1">
      <x:c r="A11" s="370" t="n">
        <x:v>7</x:v>
      </x:c>
      <x:c r="B11" s="372" t="str">
        <x:v>Route Smoke</x:v>
      </x:c>
      <x:c r="C11" s="329" t="str">
        <x:v>22 user/admin route shells desktop + mobile</x:v>
      </x:c>
      <x:c r="D11" s="329" t="str">
        <x:v>PASS: 44 controlled cases</x:v>
      </x:c>
      <x:c r="E11" s="388" t="str">
        <x:v>PASS</x:v>
      </x:c>
      <x:c r="F11" s="372" t="str">
        <x:v>Repeat after final UI merge</x:v>
      </x:c>
      <x:c r="G11" s="372" t="str">
        <x:v>01-Dec-2026</x:v>
      </x:c>
      <x:c r="H11" s="373" t="str">
        <x:v>docs/qa/verification-results.md</x:v>
      </x:c>
    </x:row>
    <x:row r="12" ht="38" customHeight="1">
      <x:c r="A12" s="370" t="n">
        <x:v>8</x:v>
      </x:c>
      <x:c r="B12" s="372" t="str">
        <x:v>Telegram Service</x:v>
      </x:c>
      <x:c r="C12" s="329" t="str">
        <x:v>pytest + Ruff + Bandit + compileall</x:v>
      </x:c>
      <x:c r="D12" s="329" t="str">
        <x:v>PASS: 24 tests and static/compile gates</x:v>
      </x:c>
      <x:c r="E12" s="388" t="str">
        <x:v>PASS</x:v>
      </x:c>
      <x:c r="F12" s="372" t="str">
        <x:v>Add live Telegram integration validation</x:v>
      </x:c>
      <x:c r="G12" s="372" t="str">
        <x:v>13-Oct-2026</x:v>
      </x:c>
      <x:c r="H12" s="373" t="str">
        <x:v>docs/qa/verification-results.md</x:v>
      </x:c>
    </x:row>
    <x:row r="13" ht="38" customHeight="1">
      <x:c r="A13" s="370" t="n">
        <x:v>9</x:v>
      </x:c>
      <x:c r="B13" s="372" t="str">
        <x:v>Python Vulnerability Audit</x:v>
      </x:c>
      <x:c r="C13" s="329" t="str">
        <x:v>pip-audit</x:v>
      </x:c>
      <x:c r="D13" s="329" t="str">
        <x:v>PASS: no known vulnerabilities</x:v>
      </x:c>
      <x:c r="E13" s="388" t="str">
        <x:v>PASS</x:v>
      </x:c>
      <x:c r="F13" s="372" t="str">
        <x:v>Rerun before release</x:v>
      </x:c>
      <x:c r="G13" s="372" t="str">
        <x:v>01-Dec-2026</x:v>
      </x:c>
      <x:c r="H13" s="373" t="str">
        <x:v>docs/qa/verification-results.md</x:v>
      </x:c>
    </x:row>
    <x:row r="14" ht="38" customHeight="1">
      <x:c r="A14" s="370" t="n">
        <x:v>10</x:v>
      </x:c>
      <x:c r="B14" s="372" t="str">
        <x:v>Node Vulnerability Audit</x:v>
      </x:c>
      <x:c r="C14" s="329" t="str">
        <x:v>npm audit --audit-level=high</x:v>
      </x:c>
      <x:c r="D14" s="329" t="str">
        <x:v>PASS: 0 vulnerabilities</x:v>
      </x:c>
      <x:c r="E14" s="388" t="str">
        <x:v>PASS</x:v>
      </x:c>
      <x:c r="F14" s="372" t="str">
        <x:v>Rerun both frontend apps</x:v>
      </x:c>
      <x:c r="G14" s="372" t="str">
        <x:v>01-Dec-2026</x:v>
      </x:c>
      <x:c r="H14" s="373" t="str">
        <x:v>docs/qa/verification-results.md</x:v>
      </x:c>
    </x:row>
    <x:row r="15" ht="38" customHeight="1">
      <x:c r="A15" s="370" t="n">
        <x:v>11</x:v>
      </x:c>
      <x:c r="B15" s="372" t="str">
        <x:v>Secret Scan Current Tree</x:v>
      </x:c>
      <x:c r="C15" s="329" t="str">
        <x:v>Gitleaks clean exported tree</x:v>
      </x:c>
      <x:c r="D15" s="329" t="str">
        <x:v>PASS: 0 findings</x:v>
      </x:c>
      <x:c r="E15" s="388" t="str">
        <x:v>PASS</x:v>
      </x:c>
      <x:c r="F15" s="372" t="str">
        <x:v>Keep secret scan in final CI</x:v>
      </x:c>
      <x:c r="G15" s="372" t="str">
        <x:v>01-Dec-2026</x:v>
      </x:c>
      <x:c r="H15" s="373" t="str">
        <x:v>docs/qa/verification-results.md</x:v>
      </x:c>
    </x:row>
    <x:row r="16" ht="38" customHeight="1">
      <x:c r="A16" s="370" t="n">
        <x:v>12</x:v>
      </x:c>
      <x:c r="B16" s="372" t="str">
        <x:v>Secret Scan Git History</x:v>
      </x:c>
      <x:c r="C16" s="329" t="str">
        <x:v>Gitleaks full-history diagnostic</x:v>
      </x:c>
      <x:c r="D16" s="329" t="str">
        <x:v>FAIL/INCIDENT: 29 findings across 12 path/rule groups</x:v>
      </x:c>
      <x:c r="E16" s="406" t="str">
        <x:v>BLOCKER</x:v>
      </x:c>
      <x:c r="F16" s="372" t="str">
        <x:v>Rotate credentials + coordinated history rewrite</x:v>
      </x:c>
      <x:c r="G16" s="372" t="str">
        <x:v>30-Sep-2026</x:v>
      </x:c>
      <x:c r="H16" s="373" t="str">
        <x:v>docs/qa/known-limitations.md</x:v>
      </x:c>
    </x:row>
    <x:row r="17" ht="38" customHeight="1">
      <x:c r="A17" s="370" t="n">
        <x:v>13</x:v>
      </x:c>
      <x:c r="B17" s="372" t="str">
        <x:v>Java Advisory Feed</x:v>
      </x:c>
      <x:c r="C17" s="329" t="str">
        <x:v>Maven dependency security profile</x:v>
      </x:c>
      <x:c r="D17" s="329" t="str">
        <x:v>INCOMPLETE: no report before 10-minute timeout</x:v>
      </x:c>
      <x:c r="E17" s="406" t="str">
        <x:v>BLOCKER</x:v>
      </x:c>
      <x:c r="F17" s="372" t="str">
        <x:v>Obtain successful CI/provider vulnerability report</x:v>
      </x:c>
      <x:c r="G17" s="372" t="str">
        <x:v>06-Oct-2026</x:v>
      </x:c>
      <x:c r="H17" s="373" t="str">
        <x:v>docs/qa/known-limitations.md</x:v>
      </x:c>
    </x:row>
    <x:row r="18" ht="38" customHeight="1">
      <x:c r="A18" s="370" t="n">
        <x:v>14</x:v>
      </x:c>
      <x:c r="B18" s="372" t="str">
        <x:v>Railway / Deployment Evidence</x:v>
      </x:c>
      <x:c r="C18" s="329" t="str">
        <x:v>Provider binding/topology/logs</x:v>
      </x:c>
      <x:c r="D18" s="329" t="str">
        <x:v>Not verified / unavailable in audit evidence</x:v>
      </x:c>
      <x:c r="E18" s="406" t="str">
        <x:v>BLOCKER</x:v>
      </x:c>
      <x:c r="F18" s="372" t="str">
        <x:v>Provide service topology, variables, deployment logs and verified URL</x:v>
      </x:c>
      <x:c r="G18" s="372" t="str">
        <x:v>03-Nov-2026</x:v>
      </x:c>
      <x:c r="H18" s="373" t="str">
        <x:v>docs/qa/known-limitations.md</x:v>
      </x:c>
    </x:row>
    <x:row r="19" ht="38" customHeight="1">
      <x:c r="A19" s="370" t="n">
        <x:v>15</x:v>
      </x:c>
      <x:c r="B19" s="372" t="str">
        <x:v>Live External Integrations</x:v>
      </x:c>
      <x:c r="C19" s="329" t="str">
        <x:v>Google, Telegram, ABA, SMTP, Cloudinary, DNS/TLS</x:v>
      </x:c>
      <x:c r="D19" s="329" t="str">
        <x:v>Manual/live validation not yet evidenced</x:v>
      </x:c>
      <x:c r="E19" s="396" t="str">
        <x:v>PENDING</x:v>
      </x:c>
      <x:c r="F19" s="372" t="str">
        <x:v>Complete live/staging validations</x:v>
      </x:c>
      <x:c r="G19" s="372" t="str">
        <x:v>27-Oct-2026</x:v>
      </x:c>
      <x:c r="H19" s="373" t="str">
        <x:v>docs/qa/known-limitations.md</x:v>
      </x:c>
    </x:row>
    <x:row r="20" ht="38" customHeight="1">
      <x:c r="A20" s="370" t="n">
        <x:v>16</x:v>
      </x:c>
      <x:c r="B20" s="372" t="str">
        <x:v>Accessibility / Performance</x:v>
      </x:c>
      <x:c r="C20" s="329" t="str">
        <x:v>Keyboard, screen reader, focus, contrast, reduced motion, performance</x:v>
      </x:c>
      <x:c r="D20" s="329" t="str">
        <x:v>Not fully validated</x:v>
      </x:c>
      <x:c r="E20" s="396" t="str">
        <x:v>PENDING</x:v>
      </x:c>
      <x:c r="F20" s="372" t="str">
        <x:v>Complete a11y and performance review</x:v>
      </x:c>
      <x:c r="G20" s="372" t="str">
        <x:v>17-Nov-2026</x:v>
      </x:c>
      <x:c r="H20" s="373" t="str">
        <x:v>docs/qa/known-limitations.md</x:v>
      </x:c>
    </x:row>
    <x:row r="21" ht="38" customHeight="1">
      <x:c r="A21" s="374" t="n">
        <x:v>17</x:v>
      </x:c>
      <x:c r="B21" s="376" t="str">
        <x:v>Final Full Regression</x:v>
      </x:c>
      <x:c r="C21" s="335" t="str">
        <x:v>All modules + final deployment</x:v>
      </x:c>
      <x:c r="D21" s="335" t="str">
        <x:v>Not run yet against final code</x:v>
      </x:c>
      <x:c r="E21" s="390" t="str">
        <x:v>PLANNED</x:v>
      </x:c>
      <x:c r="F21" s="376" t="str">
        <x:v>Run final regression, archive evidence and freeze release</x:v>
      </x:c>
      <x:c r="G21" s="376" t="str">
        <x:v>01-Dec-2026</x:v>
      </x:c>
      <x:c r="H21" s="377" t="str">
        <x:v>Final audit plan</x:v>
      </x:c>
    </x:row>
    <x:row r="25">
      <x:c r="A25" s="411" t="str">
        <x:v>Release Blockers ដែលត្រូវបិទមុន 01-Dec-2026</x:v>
      </x:c>
      <x:c r="B25" s="411"/>
      <x:c r="C25" s="411"/>
      <x:c r="D25" s="411"/>
      <x:c r="E25" s="411"/>
      <x:c r="F25" s="411"/>
      <x:c r="G25" s="411"/>
      <x:c r="H25" s="411"/>
    </x:row>
    <x:row r="26">
      <x:c r="A26" s="424" t="str">
        <x:v>ល.រ</x:v>
      </x:c>
      <x:c r="B26" s="425" t="str">
        <x:v>Blocker</x:v>
      </x:c>
      <x:c r="C26" s="425" t="str">
        <x:v>ស្ថានភាពបច្ចុប្បន្ន</x:v>
      </x:c>
      <x:c r="D26" s="425" t="str">
        <x:v>សកម្មភាពត្រូវធ្វើ</x:v>
      </x:c>
      <x:c r="E26" s="425" t="str">
        <x:v>Target</x:v>
      </x:c>
      <x:c r="F26" s="426" t="str">
        <x:v>Owner</x:v>
      </x:c>
    </x:row>
    <x:row r="27" ht="38" customHeight="1">
      <x:c r="A27" s="370" t="n">
        <x:v>1</x:v>
      </x:c>
      <x:c r="B27" s="372" t="str">
        <x:v>Credential rotation</x:v>
      </x:c>
      <x:c r="C27" s="372" t="str">
        <x:v>Old/exposed Telegram credential requires rotation</x:v>
      </x:c>
      <x:c r="D27" s="372" t="str">
        <x:v>Rotate via BotFather, update deployment secrets, verify old token dead</x:v>
      </x:c>
      <x:c r="E27" s="372" t="str">
        <x:v>22-Sep-2026</x:v>
      </x:c>
      <x:c r="F27" s="427" t="str">
        <x:v>ក្រុមទាំងមូល</x:v>
      </x:c>
    </x:row>
    <x:row r="28" ht="38" customHeight="1">
      <x:c r="A28" s="370" t="n">
        <x:v>2</x:v>
      </x:c>
      <x:c r="B28" s="372" t="str">
        <x:v>Git history remediation</x:v>
      </x:c>
      <x:c r="C28" s="372" t="str">
        <x:v>29 Gitleaks findings / 12 groups</x:v>
      </x:c>
      <x:c r="D28" s="372" t="str">
        <x:v>Triage + git filter-repo + coordinated force-push + re-clone</x:v>
      </x:c>
      <x:c r="E28" s="372" t="str">
        <x:v>30-Sep-2026</x:v>
      </x:c>
      <x:c r="F28" s="427" t="str">
        <x:v>ក្រុមទាំងមូល</x:v>
      </x:c>
    </x:row>
    <x:row r="29" ht="38" customHeight="1">
      <x:c r="A29" s="370" t="n">
        <x:v>3</x:v>
      </x:c>
      <x:c r="B29" s="372" t="str">
        <x:v>Java dependency advisory</x:v>
      </x:c>
      <x:c r="C29" s="372" t="str">
        <x:v>Local advisory run incomplete</x:v>
      </x:c>
      <x:c r="D29" s="372" t="str">
        <x:v>Get successful CI/provider dependency vulnerability report</x:v>
      </x:c>
      <x:c r="E29" s="372" t="str">
        <x:v>06-Oct-2026</x:v>
      </x:c>
      <x:c r="F29" s="427" t="str">
        <x:v>ក្រុមទាំងមូល</x:v>
      </x:c>
    </x:row>
    <x:row r="30" ht="38" customHeight="1">
      <x:c r="A30" s="370" t="n">
        <x:v>4</x:v>
      </x:c>
      <x:c r="B30" s="372" t="str">
        <x:v>Deployment evidence</x:v>
      </x:c>
      <x:c r="C30" s="372" t="str">
        <x:v>Railway/service topology not verified</x:v>
      </x:c>
      <x:c r="D30" s="372" t="str">
        <x:v>Provide status, services, vars (redacted), logs, domains, DB mapping</x:v>
      </x:c>
      <x:c r="E30" s="372" t="str">
        <x:v>03-Nov-2026</x:v>
      </x:c>
      <x:c r="F30" s="427" t="str">
        <x:v>ក្រុមទាំងមូល</x:v>
      </x:c>
    </x:row>
    <x:row r="31" ht="38" customHeight="1">
      <x:c r="A31" s="374" t="n">
        <x:v>5</x:v>
      </x:c>
      <x:c r="B31" s="376" t="str">
        <x:v>Asset rights</x:v>
      </x:c>
      <x:c r="C31" s="376" t="str">
        <x:v>Retained music/gallery rights not documented</x:v>
      </x:c>
      <x:c r="D31" s="376" t="str">
        <x:v>Record license/source or replace assets before production</x:v>
      </x:c>
      <x:c r="E31" s="376" t="str">
        <x:v>17-Nov-2026</x:v>
      </x:c>
      <x:c r="F31" s="428" t="str">
        <x:v>ក្រុមទាំងមូល</x:v>
      </x:c>
    </x:row>
  </x:sheetData>
  <x:mergeCells>
    <x:mergeCell ref="A1:H1"/>
    <x:mergeCell ref="A2:H2"/>
    <x:mergeCell ref="A25:H2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0" hidden="0" customWidth="1"/>
    <x:col min="3" max="3" width="19" hidden="0" customWidth="1"/>
    <x:col min="4" max="4" width="31" hidden="0" customWidth="1"/>
    <x:col min="5" max="5" width="30" hidden="0" customWidth="1"/>
    <x:col min="6" max="6" width="40" hidden="0" customWidth="1"/>
    <x:col min="7" max="7" width="31" hidden="0" customWidth="1"/>
    <x:col min="8" max="8" width="10" hidden="0" customWidth="1"/>
    <x:col min="9" max="9" width="13" hidden="0" customWidth="1"/>
    <x:col min="10" max="10" width="18" hidden="0" customWidth="1"/>
  </x:cols>
  <x:sheetData>
    <x:row r="1" ht="34" customHeight="1">
      <x:c r="A1" s="434" t="str">
        <x:v>ផែនការចាត់តាំងការងារប្រចាំសប្ដាហ៍</x:v>
      </x:c>
      <x:c r="B1" s="434"/>
      <x:c r="C1" s="434"/>
      <x:c r="D1" s="434"/>
      <x:c r="E1" s="434"/>
      <x:c r="F1" s="434"/>
      <x:c r="G1" s="434"/>
      <x:c r="H1" s="434"/>
      <x:c r="I1" s="434"/>
      <x:c r="J1" s="434"/>
    </x:row>
    <x:row r="2" ht="26" customHeight="1">
      <x:c r="A2" s="438" t="str">
        <x:v>ប្រព័ន្ធគ្រប់គ្រងលិខិតអញ្ចើញឌីជីថល (E-Invitation)</x:v>
      </x:c>
      <x:c r="B2" s="438"/>
      <x:c r="C2" s="438"/>
      <x:c r="D2" s="438"/>
      <x:c r="E2" s="438"/>
      <x:c r="F2" s="438"/>
      <x:c r="G2" s="438"/>
      <x:c r="H2" s="438"/>
      <x:c r="I2" s="438"/>
      <x:c r="J2" s="438"/>
    </x:row>
    <x:row r="3" ht="28" customHeight="1">
      <x:c r="A3" s="442" t="str">
        <x:v>រយៈពេលការងារ៖ 10–13 September 2026  |  Checkpoint៖ Saturday 12-Sep-2026 18:00  |  Final Deadline៖ Sunday 13-Sep-2026 23:59</x:v>
      </x:c>
      <x:c r="B3" s="442"/>
      <x:c r="C3" s="442"/>
      <x:c r="D3" s="442"/>
      <x:c r="E3" s="442"/>
      <x:c r="F3" s="442"/>
      <x:c r="G3" s="442"/>
      <x:c r="H3" s="442"/>
      <x:c r="I3" s="442"/>
      <x:c r="J3" s="442"/>
    </x:row>
    <x:row r="5" ht="34" customHeight="1">
      <x:c r="A5" s="447" t="str">
        <x:v>ល.រ</x:v>
      </x:c>
      <x:c r="B5" s="447" t="str">
        <x:v>សមាជិក</x:v>
      </x:c>
      <x:c r="C5" s="447" t="str">
        <x:v>តួនាទី</x:v>
      </x:c>
      <x:c r="D5" s="447" t="str">
        <x:v>Assignment សំខាន់</x:v>
      </x:c>
      <x:c r="E5" s="447" t="str">
        <x:v>Deliverables / Evidence</x:v>
      </x:c>
      <x:c r="F5" s="447" t="str">
        <x:v>Acceptance Criteria</x:v>
      </x:c>
      <x:c r="G5" s="447" t="str">
        <x:v>Branch</x:v>
      </x:c>
      <x:c r="H5" s="447" t="str">
        <x:v>Priority</x:v>
      </x:c>
      <x:c r="I5" s="447" t="str">
        <x:v>Status</x:v>
      </x:c>
      <x:c r="J5" s="447" t="str">
        <x:v>Deadline</x:v>
      </x:c>
    </x:row>
    <x:row r="6" ht="82" customHeight="1">
      <x:c r="A6" s="477" t="n">
        <x:v>1</x:v>
      </x:c>
      <x:c r="B6" s="469" t="str">
        <x:v>ឡាំ គីមឡុង
Lam Kimlong</x:v>
      </x:c>
      <x:c r="C6" s="469" t="str">
        <x:v>Backend</x:v>
      </x:c>
      <x:c r="D6" s="469" t="str">
        <x:v>Backend security/API regression + OWASP Java dependency report</x:v>
      </x:c>
      <x:c r="E6" s="469" t="str">
        <x:v>PR, mvn test output, OWASP report, Swagger/Scalar verification evidence</x:v>
      </x:c>
      <x:c r="F6" s="469" t="str">
        <x:v>Backend tests PASS; dependency report generated; safe High/Critical findings fixed or documented; API docs remain correctly protected/configured</x:v>
      </x:c>
      <x:c r="G6" s="469" t="str">
        <x:v>feat/week1-backend-security-api</x:v>
      </x:c>
      <x:c r="H6" s="480" t="str">
        <x:v>ខ្ពស់</x:v>
      </x:c>
      <x:c r="I6" s="480" t="str">
        <x:v>គ្រោង</x:v>
      </x:c>
      <x:c r="J6" s="481" t="n">
        <x:v>46278</x:v>
      </x:c>
    </x:row>
    <x:row r="7" ht="82" customHeight="1">
      <x:c r="A7" s="478" t="n">
        <x:v>2</x:v>
      </x:c>
      <x:c r="B7" s="472" t="str">
        <x:v>គុយ ដាលី
Kuy Daly</x:v>
      </x:c>
      <x:c r="C7" s="472" t="str">
        <x:v>Backend</x:v>
      </x:c>
      <x:c r="D7" s="472" t="str">
        <x:v>Payment/Telegram backend integration readiness + regression tests</x:v>
      </x:c>
      <x:c r="E7" s="472" t="str">
        <x:v>PR, Postman/mock evidence, test output</x:v>
      </x:c>
      <x:c r="F7" s="472" t="str">
        <x:v>Order/amount validation, payment-state transitions and duplicate-confirmation/idempotency tested; Telegram/manual confirmation path documented; backend tests PASS</x:v>
      </x:c>
      <x:c r="G7" s="472" t="str">
        <x:v>feat/week1-payment-integration-tests</x:v>
      </x:c>
      <x:c r="H7" s="482" t="str">
        <x:v>ខ្ពស់</x:v>
      </x:c>
      <x:c r="I7" s="482" t="str">
        <x:v>គ្រោង</x:v>
      </x:c>
      <x:c r="J7" s="483" t="n">
        <x:v>46278</x:v>
      </x:c>
    </x:row>
    <x:row r="8" ht="82" customHeight="1">
      <x:c r="A8" s="478" t="n">
        <x:v>3</x:v>
      </x:c>
      <x:c r="B8" s="472" t="str">
        <x:v>នី បញ្ញា
Ny Panha</x:v>
      </x:c>
      <x:c r="C8" s="472" t="str">
        <x:v>Frontend — User &amp; Admin</x:v>
      </x:c>
      <x:c r="D8" s="472" t="str">
        <x:v>User + Admin frontend integration regression + P0/P1 fixes</x:v>
      </x:c>
      <x:c r="E8" s="472" t="str">
        <x:v>PR, screenshots, lint/build/test evidence</x:v>
      </x:c>
      <x:c r="F8" s="472" t="str">
        <x:v>Auth guards, dashboard, template create/edit/preview and admin user/template management tested; no reproducible P0/P1 route/API mismatch remains; builds PASS</x:v>
      </x:c>
      <x:c r="G8" s="472" t="str">
        <x:v>fix/week1-user-admin-regression</x:v>
      </x:c>
      <x:c r="H8" s="482" t="str">
        <x:v>ខ្ពស់</x:v>
      </x:c>
      <x:c r="I8" s="482" t="str">
        <x:v>គ្រោង</x:v>
      </x:c>
      <x:c r="J8" s="483" t="n">
        <x:v>46278</x:v>
      </x:c>
    </x:row>
    <x:row r="9" ht="82" customHeight="1">
      <x:c r="A9" s="478" t="n">
        <x:v>4</x:v>
      </x:c>
      <x:c r="B9" s="472" t="str">
        <x:v>គក់ ស្រីផ្កាយ
Kouk SreyPkay</x:v>
      </x:c>
      <x:c r="C9" s="472" t="str">
        <x:v>Frontend — User</x:v>
      </x:c>
      <x:c r="D9" s="472" t="str">
        <x:v>User frontend responsive + accessibility QA and fixes</x:v>
      </x:c>
      <x:c r="E9" s="472" t="str">
        <x:v>PR, 360/390/412px screenshots, QA checklist</x:v>
      </x:c>
      <x:c r="F9" s="472" t="str">
        <x:v>Dashboard, Template Catalog and Builder usable on target widths; no critical horizontal overflow; forms/loading/error/empty states and keyboard/focus reviewed; build PASS</x:v>
      </x:c>
      <x:c r="G9" s="472" t="str">
        <x:v>fix/week1-user-responsive-a11y</x:v>
      </x:c>
      <x:c r="H9" s="482" t="str">
        <x:v>ខ្ពស់</x:v>
      </x:c>
      <x:c r="I9" s="482" t="str">
        <x:v>គ្រោង</x:v>
      </x:c>
      <x:c r="J9" s="483" t="n">
        <x:v>46278</x:v>
      </x:c>
    </x:row>
    <x:row r="10" ht="82" customHeight="1">
      <x:c r="A10" s="479" t="n">
        <x:v>5</x:v>
      </x:c>
      <x:c r="B10" s="475" t="str">
        <x:v>រ៉ាន់ ណារ៉ាត់
Ran Narath</x:v>
      </x:c>
      <x:c r="C10" s="475" t="str">
        <x:v>Frontend — User</x:v>
      </x:c>
      <x:c r="D10" s="475" t="str">
        <x:v>Public invitation + RSVP visual/functional QA</x:v>
      </x:c>
      <x:c r="E10" s="475" t="str">
        <x:v>PR or QA report, mobile/desktop screenshots, defect checklist</x:v>
      </x:c>
      <x:c r="F10" s="475" t="str">
        <x:v>CanvaKhmerWeddingTemplate reviewed for typography/spacing/opening/RSVP/gallery/music/location/upload fallbacks; P0/P1 fixed or clearly evidenced; public flow works without broken assets</x:v>
      </x:c>
      <x:c r="G10" s="475" t="str">
        <x:v>test/week1-public-rsvp-visual-qa</x:v>
      </x:c>
      <x:c r="H10" s="484" t="str">
        <x:v>ខ្ពស់</x:v>
      </x:c>
      <x:c r="I10" s="484" t="str">
        <x:v>គ្រោង</x:v>
      </x:c>
      <x:c r="J10" s="485" t="n">
        <x:v>46278</x:v>
      </x:c>
    </x:row>
    <x:row r="12" ht="28" customHeight="1">
      <x:c r="A12" s="488" t="str">
        <x:v>របៀប Submit និង Definition of Done</x:v>
      </x:c>
      <x:c r="B12" s="488"/>
      <x:c r="C12" s="488"/>
      <x:c r="D12" s="488"/>
      <x:c r="E12" s="488"/>
      <x:c r="F12" s="488"/>
      <x:c r="G12" s="488"/>
      <x:c r="H12" s="488"/>
      <x:c r="I12" s="488"/>
      <x:c r="J12" s="488"/>
    </x:row>
    <x:row r="13" ht="34" customHeight="1">
      <x:c r="A13" s="491" t="str">
        <x:v>1</x:v>
      </x:c>
      <x:c r="B13" s="495" t="str">
        <x:v>ប្រើ Branch ផ្ទាល់ខ្លួនតាមឈ្មោះដែលបានកំណត់ ហើយបង្កើត Pull Request; មិន Push ទៅ main ដោយផ្ទាល់។</x:v>
      </x:c>
      <x:c r="C13" s="495"/>
      <x:c r="D13" s="495"/>
      <x:c r="E13" s="495"/>
      <x:c r="F13" s="495"/>
      <x:c r="G13" s="495"/>
      <x:c r="H13" s="495"/>
      <x:c r="I13" s="495"/>
      <x:c r="J13" s="495"/>
    </x:row>
    <x:row r="14" ht="34" customHeight="1">
      <x:c r="A14" s="491" t="str">
        <x:v>2</x:v>
      </x:c>
      <x:c r="B14" s="495" t="str">
        <x:v>រាល់ Assignment ត្រូវមាន Evidence: PR/Commit link + Test output + Screenshot/Checklist ឬ Report តាមប្រភេទការងារ។</x:v>
      </x:c>
      <x:c r="C14" s="495"/>
      <x:c r="D14" s="495"/>
      <x:c r="E14" s="495"/>
      <x:c r="F14" s="495"/>
      <x:c r="G14" s="495"/>
      <x:c r="H14" s="495"/>
      <x:c r="I14" s="495"/>
      <x:c r="J14" s="495"/>
    </x:row>
    <x:row r="15" ht="34" customHeight="1">
      <x:c r="A15" s="491" t="str">
        <x:v>3</x:v>
      </x:c>
      <x:c r="B15" s="495" t="str">
        <x:v>Checkpoint ថ្ងៃសៅរ៍ 12-Sep-2026 ម៉ោង 18:00 — ត្រូវបង្ហាញ Progress, បញ្ហា/Blocker និង Evidence ដំបូង។</x:v>
      </x:c>
      <x:c r="C15" s="495"/>
      <x:c r="D15" s="495"/>
      <x:c r="E15" s="495"/>
      <x:c r="F15" s="495"/>
      <x:c r="G15" s="495"/>
      <x:c r="H15" s="495"/>
      <x:c r="I15" s="495"/>
      <x:c r="J15" s="495"/>
    </x:row>
    <x:row r="16" ht="34" customHeight="1">
      <x:c r="A16" s="491" t="str">
        <x:v>4</x:v>
      </x:c>
      <x:c r="B16" s="495" t="str">
        <x:v>Final Deadline ថ្ងៃអាទិត្យ 13-Sep-2026 ម៉ោង 23:59 — PR និង Evidence ត្រូវ Ready for Review; បញ្ហាដែលមិនអាចដោះស្រាយត្រូវមាន Root Cause + Next Action។</x:v>
      </x:c>
      <x:c r="C16" s="495"/>
      <x:c r="D16" s="495"/>
      <x:c r="E16" s="495"/>
      <x:c r="F16" s="495"/>
      <x:c r="G16" s="495"/>
      <x:c r="H16" s="495"/>
      <x:c r="I16" s="495"/>
      <x:c r="J16" s="495"/>
    </x:row>
    <x:row r="17" ht="34" customHeight="1">
      <x:c r="A17" s="491" t="str">
        <x:v>5</x:v>
      </x:c>
      <x:c r="B17" s="495" t="str">
        <x:v>ការងារត្រូវបានចាត់ទុកថា Complete លុះត្រាតែ Acceptance Criteria បានបំពេញ និង Team Leader Review Evidence រួច។</x:v>
      </x:c>
      <x:c r="C17" s="495"/>
      <x:c r="D17" s="495"/>
      <x:c r="E17" s="495"/>
      <x:c r="F17" s="495"/>
      <x:c r="G17" s="495"/>
      <x:c r="H17" s="495"/>
      <x:c r="I17" s="495"/>
      <x:c r="J17" s="495"/>
    </x:row>
  </x:sheetData>
  <x:mergeCells>
    <x:mergeCell ref="A1:J1"/>
    <x:mergeCell ref="A2:J2"/>
    <x:mergeCell ref="A3:J3"/>
    <x:mergeCell ref="A12:J12"/>
    <x:mergeCell ref="B13:J13"/>
    <x:mergeCell ref="B14:J14"/>
    <x:mergeCell ref="B15:J15"/>
    <x:mergeCell ref="B16:J16"/>
    <x:mergeCell ref="B17:J17"/>
  </x:mergeCells>
  <x:conditionalFormatting sqref="I6:I10">
    <x:cfRule type="expression" dxfId="5" priority="1">
      <x:formula>I6="បានបញ្ចប់"</x:formula>
    </x:cfRule>
    <x:cfRule type="expression" dxfId="6" priority="2">
      <x:formula>I6="កំពុងធ្វើ"</x:formula>
    </x:cfRule>
    <x:cfRule type="expression" dxfId="7" priority="3">
      <x:formula>I6="ជាប់គាំង"</x:formula>
    </x:cfRule>
  </x:conditionalFormatting>
  <x:dataValidations count="1">
    <x:dataValidation type="list" sqref="I6:I10">
      <x:formula1>"គ្រោង,កំពុងធ្វើ,រង់ចាំ Review,បានបញ្ចប់,ជាប់គាំង"</x:formula1>
    </x:dataValidation>
  </x:dataValidations>
  <x:pageMargins left="0.7" right="0.7" top="0.75" bottom="0.75" header="0.3" footer="0.3"/>
</x:worksheet>
</file>